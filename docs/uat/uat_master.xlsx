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cho\Dev\fantasy-football-pi\fantasy-football-pi\docs\uat\"/>
    </mc:Choice>
  </mc:AlternateContent>
  <xr:revisionPtr revIDLastSave="0" documentId="13_ncr:1_{820F2A66-B00F-4BF2-91B4-8AED65544C5F}" xr6:coauthVersionLast="47" xr6:coauthVersionMax="47" xr10:uidLastSave="{00000000-0000-0000-0000-000000000000}"/>
  <bookViews>
    <workbookView xWindow="-28920" yWindow="4515" windowWidth="29040" windowHeight="15720" xr2:uid="{00000000-000D-0000-FFFF-FFFF00000000}"/>
  </bookViews>
  <sheets>
    <sheet name="Sheet1" sheetId="1" r:id="rId1"/>
    <sheet name="Dropdown_Lists" sheetId="2" state="hidden" r:id="rId2"/>
    <sheet name="Defect_Rollup" sheetId="3" r:id="rId3"/>
    <sheet name="CodePath_Defa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00" i="3" l="1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W10" i="3"/>
  <c r="L10" i="3"/>
  <c r="W9" i="3"/>
  <c r="L9" i="3"/>
  <c r="W8" i="3"/>
  <c r="L8" i="3"/>
  <c r="W7" i="3"/>
  <c r="L7" i="3"/>
  <c r="W6" i="3"/>
  <c r="L6" i="3"/>
  <c r="W5" i="3"/>
  <c r="L5" i="3"/>
  <c r="W4" i="3"/>
  <c r="L4" i="3"/>
  <c r="W3" i="3"/>
  <c r="L3" i="3"/>
  <c r="W2" i="3"/>
  <c r="L2" i="3"/>
</calcChain>
</file>

<file path=xl/sharedStrings.xml><?xml version="1.0" encoding="utf-8"?>
<sst xmlns="http://schemas.openxmlformats.org/spreadsheetml/2006/main" count="4578" uniqueCount="888">
  <si>
    <t>Tester note: Use plain user language. Avoid technical terms (token, endpoint, route, console) in test steps.</t>
  </si>
  <si>
    <t>Write tests using UI words testers can see: screen title, button, table, card, menu, message.</t>
  </si>
  <si>
    <t>Run in order: P0 first, then P1, then P2.</t>
  </si>
  <si>
    <t>Release gate: do all P0 tests first and resolve blockers before running P1/P2.</t>
  </si>
  <si>
    <t>AREA</t>
  </si>
  <si>
    <t>ID</t>
  </si>
  <si>
    <t>Page</t>
  </si>
  <si>
    <t>step#</t>
  </si>
  <si>
    <t>Test Step</t>
  </si>
  <si>
    <t>Expected Result</t>
  </si>
  <si>
    <t>Expected Status</t>
  </si>
  <si>
    <t>Actual Result</t>
  </si>
  <si>
    <t>Priority Level</t>
  </si>
  <si>
    <t>Solution</t>
  </si>
  <si>
    <t>Fix Applied</t>
  </si>
  <si>
    <t>Role Scope</t>
  </si>
  <si>
    <t>Traceability ID</t>
  </si>
  <si>
    <t>Bug Ticket</t>
  </si>
  <si>
    <t>Code Path Default</t>
  </si>
  <si>
    <t>Execution Tier</t>
  </si>
  <si>
    <t>Login Page - Authenticate users securely and establish/terminate application sessions.</t>
  </si>
  <si>
    <t>1.01</t>
  </si>
  <si>
    <t>Login</t>
  </si>
  <si>
    <t>Navigate to the login URL</t>
  </si>
  <si>
    <t>Page loads with Username and Password fields</t>
  </si>
  <si>
    <t>Not Tested</t>
  </si>
  <si>
    <t>N/A</t>
  </si>
  <si>
    <t>User</t>
  </si>
  <si>
    <t>TRC-1.01-LOGIN</t>
  </si>
  <si>
    <t>P0 - Critical Path</t>
  </si>
  <si>
    <t>1.02</t>
  </si>
  <si>
    <t>Enter valid credentials and click "Login"</t>
  </si>
  <si>
    <t>User is redirected to the Dashboard/Home page</t>
  </si>
  <si>
    <t>TRC-1.02-LOGIN</t>
  </si>
  <si>
    <t>1.03</t>
  </si>
  <si>
    <t>Enter valid username but incorrect password</t>
  </si>
  <si>
    <t>Error message: "Invalid credentials" (or similar)</t>
  </si>
  <si>
    <t>TRC-1.03-LOGIN</t>
  </si>
  <si>
    <t>1.04</t>
  </si>
  <si>
    <t>Leave both fields empty and click "Login"</t>
  </si>
  <si>
    <t>Browser or App displays "Required Field" validation</t>
  </si>
  <si>
    <t>TRC-1.04-LOGIN</t>
  </si>
  <si>
    <t>1.05</t>
  </si>
  <si>
    <t>Enter an unregistered email/username</t>
  </si>
  <si>
    <t>Error message: "User does not exist"</t>
  </si>
  <si>
    <t>TRC-1.05-LOGIN</t>
  </si>
  <si>
    <t>1.06</t>
  </si>
  <si>
    <t>Session</t>
  </si>
  <si>
    <t>Log in successfully, then click "Logout"</t>
  </si>
  <si>
    <t>User is redirected to login; back button doesn't re-log in</t>
  </si>
  <si>
    <t>TRC-1.06-SESSION</t>
  </si>
  <si>
    <t>1.07</t>
  </si>
  <si>
    <t>Close browser tab without logging out and reopen</t>
  </si>
  <si>
    <t>User should remain logged in (if 'Remember Me' is active)</t>
  </si>
  <si>
    <t>TRC-1.07-SESSION</t>
  </si>
  <si>
    <t>1.08</t>
  </si>
  <si>
    <t>Security</t>
  </si>
  <si>
    <t>Try to access Dashboard URL directly without logging in</t>
  </si>
  <si>
    <t>System redirects user back to the Login page</t>
  </si>
  <si>
    <t>TRC-1.08-SECURITY</t>
  </si>
  <si>
    <t>Home Page - League overview hub with standings, navigation, and assistant entry points.</t>
  </si>
  <si>
    <t>2.01</t>
  </si>
  <si>
    <t>Navigation</t>
  </si>
  <si>
    <t>Click the hamburger menu icon</t>
  </si>
  <si>
    <t>Sidebar menu expands and is visible</t>
  </si>
  <si>
    <t>TRC-2.01-NAVIGATION</t>
  </si>
  <si>
    <t>P2 - Extended Coverage</t>
  </si>
  <si>
    <t>2.02</t>
  </si>
  <si>
    <t>Click the hamburger icon (or 'X') while expanded</t>
  </si>
  <si>
    <t>Sidebar menu collapses and is hidden</t>
  </si>
  <si>
    <t>TRC-2.02-NAVIGATION</t>
  </si>
  <si>
    <t>2.03</t>
  </si>
  <si>
    <t>UI/UX</t>
  </si>
  <si>
    <t>Toggle the Dark/Light mode switch</t>
  </si>
  <si>
    <t>Theme colors update immediately across the UI</t>
  </si>
  <si>
    <t>TRC-2.03-UI-UX</t>
  </si>
  <si>
    <t>2.04</t>
  </si>
  <si>
    <t>Refresh page after changing theme</t>
  </si>
  <si>
    <t>Theme preference is persisted (Dark or Light)</t>
  </si>
  <si>
    <t>TRC-2.04-UI-UX</t>
  </si>
  <si>
    <t>2.05</t>
  </si>
  <si>
    <t>Teams</t>
  </si>
  <si>
    <t>Click on any Team Name or Logo in the list</t>
  </si>
  <si>
    <t>User is redirected to that team's "Locker Room" page</t>
  </si>
  <si>
    <t>TRC-2.05-TEAMS</t>
  </si>
  <si>
    <t>2.06</t>
  </si>
  <si>
    <t>Click on the User's own team link</t>
  </si>
  <si>
    <t>User is redirected to their personal "Locker Room"</t>
  </si>
  <si>
    <t>TRC-2.06-TEAMS</t>
  </si>
  <si>
    <t>2.07</t>
  </si>
  <si>
    <t>Locate the League Standings table</t>
  </si>
  <si>
    <t>Table displays: Division, W/L/T, PF, and PA</t>
  </si>
  <si>
    <t>TRC-2.07-TEAMS</t>
  </si>
  <si>
    <t>2.08</t>
  </si>
  <si>
    <t>Verify data accuracy for "Team Nick Grant"</t>
  </si>
  <si>
    <t>Stats match the underlying database/API values</t>
  </si>
  <si>
    <t>TRC-2.08-TEAMS</t>
  </si>
  <si>
    <t>2.09</t>
  </si>
  <si>
    <t>Sort table by "PF" (Points For)</t>
  </si>
  <si>
    <t>Table reorders correctly from highest to lowest</t>
  </si>
  <si>
    <t>TRC-2.09-TEAMS</t>
  </si>
  <si>
    <t>2.10</t>
  </si>
  <si>
    <t>Content</t>
  </si>
  <si>
    <t>Locate the "League News" section</t>
  </si>
  <si>
    <t>News feed displays latest league updates/posts</t>
  </si>
  <si>
    <t>TRC-2.10-CONTENT</t>
  </si>
  <si>
    <t>2.11</t>
  </si>
  <si>
    <t>AI/Chat</t>
  </si>
  <si>
    <t>Click the Chat Assistant icon/button</t>
  </si>
  <si>
    <t>Chat interface expands/opens for user input</t>
  </si>
  <si>
    <t>TRC-2.11-AI-CHAT</t>
  </si>
  <si>
    <t>2.12</t>
  </si>
  <si>
    <t>Click the collapse/close button on Chat</t>
  </si>
  <si>
    <t>Chat interface minimizes or hides from view</t>
  </si>
  <si>
    <t>TRC-2.12-AI-CHAT</t>
  </si>
  <si>
    <t>2.13</t>
  </si>
  <si>
    <t>Open Chat and ask: "Who is in first place?"</t>
  </si>
  <si>
    <t>System returns current #1 seed within &lt; 3s</t>
  </si>
  <si>
    <t>TRC-2.13-AI-CHAT</t>
  </si>
  <si>
    <t>2.14</t>
  </si>
  <si>
    <t>Ask: "Who has the most Points Against (PA)?"</t>
  </si>
  <si>
    <t>System correctly identifies the "unluckiest" team</t>
  </si>
  <si>
    <t>TRC-2.14-AI-CHAT</t>
  </si>
  <si>
    <t>2.15</t>
  </si>
  <si>
    <t>Ask: "Compare Team Nick Grant vs Land of Lincoln"</t>
  </si>
  <si>
    <t>RAG pulls stats for both and provides a summary</t>
  </si>
  <si>
    <t>TRC-2.15-AI-CHAT</t>
  </si>
  <si>
    <t>2.16</t>
  </si>
  <si>
    <t>Hard/Latency Test: Ask a multi-part query</t>
  </si>
  <si>
    <t>See "Hard Question" below for details</t>
  </si>
  <si>
    <t>TRC-2.16-AI-CHAT</t>
  </si>
  <si>
    <t>2.17</t>
  </si>
  <si>
    <t>Close chat and reopen</t>
  </si>
  <si>
    <t>Chat history persists (if implemented)</t>
  </si>
  <si>
    <t>TRC-2.17-AI-CHAT</t>
  </si>
  <si>
    <t>My Team Page - Team owner workspace for lineup decisions, roster changes, and trade actions.</t>
  </si>
  <si>
    <t>3.01</t>
  </si>
  <si>
    <t>My Team</t>
  </si>
  <si>
    <t>Click Hamburger / Dark Mode / Chat</t>
  </si>
  <si>
    <t>UI components mirror Home Page behavior</t>
  </si>
  <si>
    <t>TRC-3.01-MY-TEAM</t>
  </si>
  <si>
    <t>3.02</t>
  </si>
  <si>
    <t>Ask Chat: "Who should I start this week?"</t>
  </si>
  <si>
    <t>AI analyzes roster/matchups and gives a suggestion</t>
  </si>
  <si>
    <t>TRC-3.02-MY-TEAM</t>
  </si>
  <si>
    <t>3.03</t>
  </si>
  <si>
    <t>Lineup</t>
  </si>
  <si>
    <t>Toggle between "Recommend" and "Actual" views</t>
  </si>
  <si>
    <t>View shifts between AI-suggested and saved lineup</t>
  </si>
  <si>
    <t>TRC-3.03-LINEUP</t>
  </si>
  <si>
    <t>3.04</t>
  </si>
  <si>
    <t>Select a different week from the dropdown</t>
  </si>
  <si>
    <t>Roster/Matchups update to reflect selected week</t>
  </si>
  <si>
    <t>TRC-3.04-LINEUP</t>
  </si>
  <si>
    <t>3.05</t>
  </si>
  <si>
    <t>Edit</t>
  </si>
  <si>
    <t>Swap a Bench player with a Starter</t>
  </si>
  <si>
    <t>Position labels update; visual swap occurs</t>
  </si>
  <si>
    <t>TRC-3.05-EDIT</t>
  </si>
  <si>
    <t>3.06</t>
  </si>
  <si>
    <t>Move a player to a different week's lineup</t>
  </si>
  <si>
    <t>Change persists when navigating back to that week</t>
  </si>
  <si>
    <t>TRC-3.06-EDIT</t>
  </si>
  <si>
    <t>3.07</t>
  </si>
  <si>
    <t>Move Bench player to Taxi Squad (and vice versa)</t>
  </si>
  <si>
    <t>Player moves to/from the designated Taxi section</t>
  </si>
  <si>
    <t>TRC-3.07-EDIT</t>
  </si>
  <si>
    <t>3.08</t>
  </si>
  <si>
    <t>Exceed roster limit / invalid position start</t>
  </si>
  <si>
    <t>UI shows Red validation warning per Commish rules</t>
  </si>
  <si>
    <t>TRC-3.08-EDIT</t>
  </si>
  <si>
    <t>3.09</t>
  </si>
  <si>
    <t>Arrange a legal lineup</t>
  </si>
  <si>
    <t>UI shows Green validation; "Submit" is enabled</t>
  </si>
  <si>
    <t>TRC-3.09-EDIT</t>
  </si>
  <si>
    <t>3.10</t>
  </si>
  <si>
    <t>Click "Submit Roster"</t>
  </si>
  <si>
    <t>Success message appears; changes save to DB</t>
  </si>
  <si>
    <t>TRC-3.10-EDIT</t>
  </si>
  <si>
    <t>3.11</t>
  </si>
  <si>
    <t>Trade</t>
  </si>
  <si>
    <t>Select an owner to trade with</t>
  </si>
  <si>
    <t>Both teams' rosters load side-by-side</t>
  </si>
  <si>
    <t>TRC-3.11-TRADE</t>
  </si>
  <si>
    <t>3.12</t>
  </si>
  <si>
    <t>Select players and add/request Draft Dollars</t>
  </si>
  <si>
    <t>Trade summary updates with selected assets</t>
  </si>
  <si>
    <t>TRC-3.12-TRADE</t>
  </si>
  <si>
    <t>3.13</t>
  </si>
  <si>
    <t>Enter a trade note and click "Submit Proposal"</t>
  </si>
  <si>
    <t>Proposal is sent; shows in "Pending Trades"</t>
  </si>
  <si>
    <t>TRC-3.13-TRADE</t>
  </si>
  <si>
    <t>3.14</t>
  </si>
  <si>
    <t>Keepers</t>
  </si>
  <si>
    <t>Select a player to keep</t>
  </si>
  <si>
    <t>[Known Issue] Verify if selection saves/fails</t>
  </si>
  <si>
    <t>TRC-3.14-KEEPERS</t>
  </si>
  <si>
    <t>Match-up Page - Weekly head-to-head views and Game Center details for matchup outcomes.</t>
  </si>
  <si>
    <t>4.01</t>
  </si>
  <si>
    <t>Match-up</t>
  </si>
  <si>
    <t>Verify Header Data</t>
  </si>
  <si>
    <t>Shows: Nick Grant, Post Pacific League, [Division Name]</t>
  </si>
  <si>
    <t>TRC-4.01-MATCH-UP</t>
  </si>
  <si>
    <t>4.02</t>
  </si>
  <si>
    <t>Toggle Week Number (Previous/Next)</t>
  </si>
  <si>
    <t>Match-ups update to show correct historical/future games</t>
  </si>
  <si>
    <t>TRC-4.02-MATCH-UP</t>
  </si>
  <si>
    <t>4.03</t>
  </si>
  <si>
    <t>Enter Specific Week # in input field</t>
  </si>
  <si>
    <t>Page jumps directly to that week's data</t>
  </si>
  <si>
    <t>TRC-4.03-MATCH-UP</t>
  </si>
  <si>
    <t>4.04</t>
  </si>
  <si>
    <t>Toggle "Actual" vs "Projected"</t>
  </si>
  <si>
    <t>Scores switch between live points and AI/Seed projections</t>
  </si>
  <si>
    <t>TRC-4.04-MATCH-UP</t>
  </si>
  <si>
    <t>4.05</t>
  </si>
  <si>
    <t>Observe Live Scoring (during active game)</t>
  </si>
  <si>
    <t>Scores refresh/update without full page reload</t>
  </si>
  <si>
    <t>TRC-4.05-MATCH-UP</t>
  </si>
  <si>
    <t>4.06</t>
  </si>
  <si>
    <t>Review Head-to-Head Content</t>
  </si>
  <si>
    <t>All league matchups are visible for the selected week</t>
  </si>
  <si>
    <t>TRC-4.06-MATCH-UP</t>
  </si>
  <si>
    <t>4.07</t>
  </si>
  <si>
    <t>Game Center</t>
  </si>
  <si>
    <t>Click "Game Center" on a specific matchup</t>
  </si>
  <si>
    <t>Redirects to detailed breakdown of that specific game</t>
  </si>
  <si>
    <t>TRC-4.07-GAME-CENTER</t>
  </si>
  <si>
    <t>4.08</t>
  </si>
  <si>
    <t>Review Team Details in Game Center</t>
  </si>
  <si>
    <t>Shows bench vs. starters, player status, and remaining PMR</t>
  </si>
  <si>
    <t>TRC-4.08-GAME-CENTER</t>
  </si>
  <si>
    <t>4.09</t>
  </si>
  <si>
    <t>Locate "PMR" (Player Minutes Remaining)</t>
  </si>
  <si>
    <t>Displays total remaining game time for both teams</t>
  </si>
  <si>
    <t>TRC-4.09-MATCH-UP</t>
  </si>
  <si>
    <t>4.10</t>
  </si>
  <si>
    <t>Simulate a Score Tie (if possible in DB)</t>
  </si>
  <si>
    <t>UI highlights the designated tie-breaker (e.g., Bench Pts)</t>
  </si>
  <si>
    <t>TRC-4.10-MATCH-UP</t>
  </si>
  <si>
    <t>4.11</t>
  </si>
  <si>
    <t>Locate "Bench Points" for both teams</t>
  </si>
  <si>
    <t>Shows total points for players not in the starting lineup</t>
  </si>
  <si>
    <t>TRC-4.11-MATCH-UP</t>
  </si>
  <si>
    <t>4.12</t>
  </si>
  <si>
    <t>Compare "Pain Index" (Bench vs. Starter)</t>
  </si>
  <si>
    <t>UI flags if a benched player outscored a starter</t>
  </si>
  <si>
    <t>TRC-4.12-MATCH-UP</t>
  </si>
  <si>
    <t>4.13</t>
  </si>
  <si>
    <t>Details</t>
  </si>
  <si>
    <t>Click into Game Center during a Live Game</t>
  </si>
  <si>
    <t>Player stats (Yds/TDs) update in real-time</t>
  </si>
  <si>
    <t>TRC-4.13-DETAILS</t>
  </si>
  <si>
    <t>4.14</t>
  </si>
  <si>
    <t>Verify "Division Rank" in Match-up context</t>
  </si>
  <si>
    <t>Shows how this specific game impacts division standings</t>
  </si>
  <si>
    <t>TRC-4.14-DETAILS</t>
  </si>
  <si>
    <t>4.15</t>
  </si>
  <si>
    <t>Chat</t>
  </si>
  <si>
    <t>Ask: "Who has the most points left on their bench?"</t>
  </si>
  <si>
    <t>RAG identifies the team with the highest "Bench Points"</t>
  </si>
  <si>
    <t>TRC-4.15-CHAT</t>
  </si>
  <si>
    <t>4.16</t>
  </si>
  <si>
    <t>Ask: "Which matchup is the closest right now?"</t>
  </si>
  <si>
    <t>AI compares all live scores and identifies the smallest gap</t>
  </si>
  <si>
    <t>TRC-4.16-CHAT</t>
  </si>
  <si>
    <t>Cross-Cutting Quality - End-user resilience, permission boundaries, and data continuity checks.</t>
  </si>
  <si>
    <t>5.01</t>
  </si>
  <si>
    <t>As a regular user, try to open the Commissioner area directly.</t>
  </si>
  <si>
    <t>You are blocked from Commissioner tools and shown the correct access message or redirect.</t>
  </si>
  <si>
    <t>High</t>
  </si>
  <si>
    <t>TRC-8.0-SECURITY-5.01</t>
  </si>
  <si>
    <t>5.02</t>
  </si>
  <si>
    <t>As a regular user, try to open the Site Admin area directly.</t>
  </si>
  <si>
    <t>You are blocked from Site Admin tools and shown the correct access message or redirect.</t>
  </si>
  <si>
    <t>TRC-0.0-SECURITY-5.02</t>
  </si>
  <si>
    <t>5.03</t>
  </si>
  <si>
    <t>Stay signed in until your session ends, then try to save a lineup change.</t>
  </si>
  <si>
    <t>The app asks you to sign in again and clearly explains what to do next.</t>
  </si>
  <si>
    <t>TRC-1.0-SESSION-5.03</t>
  </si>
  <si>
    <t>5.04</t>
  </si>
  <si>
    <t>Reliability</t>
  </si>
  <si>
    <t>While opening Home or Matchups, briefly disconnect and reconnect your internet.</t>
  </si>
  <si>
    <t>You see a clear error/retry message and the app does not freeze.</t>
  </si>
  <si>
    <t>TRC-6.0-RELIABILITY-5.04</t>
  </si>
  <si>
    <t>P1 - Core Regression</t>
  </si>
  <si>
    <t>5.05</t>
  </si>
  <si>
    <t>Data Integrity</t>
  </si>
  <si>
    <t>Make a legal lineup change, refresh the browser, then return to that same week and team.</t>
  </si>
  <si>
    <t>Your lineup change is still saved after refresh.</t>
  </si>
  <si>
    <t>TRC-3.0-DATA-INTEGRITY-5.05</t>
  </si>
  <si>
    <t>5.06</t>
  </si>
  <si>
    <t>AI/Chat NFR</t>
  </si>
  <si>
    <t>Ask the League Advisor one normal question from the chat box.</t>
  </si>
  <si>
    <t>You receive a clear answer within about 3 seconds.</t>
  </si>
  <si>
    <t>Medium</t>
  </si>
  <si>
    <t>TRC-6.0-AI-CHAT-NFR-5.06</t>
  </si>
  <si>
    <t>5.07</t>
  </si>
  <si>
    <t>Ask the League Advisor a long, multi-part question on a slower connection.</t>
  </si>
  <si>
    <t>If the response is delayed, the app shows a clear status/error message instead of freezing.</t>
  </si>
  <si>
    <t>TRC-6.0-AI-CHAT-NFR-5.07</t>
  </si>
  <si>
    <t>5.08</t>
  </si>
  <si>
    <t>Usability</t>
  </si>
  <si>
    <t>When a test fails, add a screenshot or link in the evidence field.</t>
  </si>
  <si>
    <t>The failure has enough detail for someone else to review and reproduce it.</t>
  </si>
  <si>
    <t>TRC-TEST-OPS-USABILITY-5.08</t>
  </si>
  <si>
    <t>Full Frontend Page Coverage - Route/page-level UAT for all frontend pages in CERT.</t>
  </si>
  <si>
    <t>6.01</t>
  </si>
  <si>
    <t>Screen Location: Admin Settings &gt; Manage Commissioners</t>
  </si>
  <si>
    <t>From Admin Settings &gt; Manage Commissioners, open the screen and confirm the page title, tables/sections, and primary buttons are visible.</t>
  </si>
  <si>
    <t>The screen opens correctly and the key items on the page are easy to find and use.</t>
  </si>
  <si>
    <t>Site Admin</t>
  </si>
  <si>
    <t>TRC-FE-PAGE-6.01</t>
  </si>
  <si>
    <t>frontend/src/pages/admin/ManageCommissioners.jsx</t>
  </si>
  <si>
    <t>6.02</t>
  </si>
  <si>
    <t>From Admin Settings &gt; Manage Commissioners, complete one common user action (save, filter, navigate, or submit), then refresh the page.</t>
  </si>
  <si>
    <t>The action works as expected, and the same information is still correct after refresh.</t>
  </si>
  <si>
    <t>TRC-FE-PAGE-6.02</t>
  </si>
  <si>
    <t>6.03</t>
  </si>
  <si>
    <t>Screen Location: Menu &gt; Admin Settings</t>
  </si>
  <si>
    <t>From Menu &gt; Admin Settings, open the screen and confirm the page title, tables/sections, and primary buttons are visible.</t>
  </si>
  <si>
    <t>TRC-FE-PAGE-6.03</t>
  </si>
  <si>
    <t>frontend/src/pages/admin/SiteAdmin.jsx</t>
  </si>
  <si>
    <t>6.04</t>
  </si>
  <si>
    <t>From Menu &gt; Admin Settings, complete one common user action (save, filter, navigate, or submit), then refresh the page.</t>
  </si>
  <si>
    <t>TRC-FE-PAGE-6.04</t>
  </si>
  <si>
    <t>6.05</t>
  </si>
  <si>
    <t>Screen Location: Menu &gt; Analytics</t>
  </si>
  <si>
    <t>From Menu &gt; Analytics, open the screen and confirm the page title, tables/sections, and primary buttons are visible.</t>
  </si>
  <si>
    <t>TRC-FE-PAGE-6.05</t>
  </si>
  <si>
    <t>frontend/src/pages/Analytics/AnalyticsDashboard.jsx</t>
  </si>
  <si>
    <t>6.06</t>
  </si>
  <si>
    <t>From Menu &gt; Analytics, complete one common user action (save, filter, navigate, or submit), then refresh the page.</t>
  </si>
  <si>
    <t>TRC-FE-PAGE-6.06</t>
  </si>
  <si>
    <t>6.07</t>
  </si>
  <si>
    <t>Screen Location: Menu &gt; Report a Bug</t>
  </si>
  <si>
    <t>From Menu &gt; Report a Bug, open the screen and confirm the page title, tables/sections, and primary buttons are visible.</t>
  </si>
  <si>
    <t>TRC-FE-PAGE-6.07</t>
  </si>
  <si>
    <t>frontend/src/pages/BugReport.jsx</t>
  </si>
  <si>
    <t>6.08</t>
  </si>
  <si>
    <t>From Menu &gt; Report a Bug, complete one common user action (save, filter, navigate, or submit), then refresh the page.</t>
  </si>
  <si>
    <t>TRC-FE-PAGE-6.08</t>
  </si>
  <si>
    <t>6.09</t>
  </si>
  <si>
    <t>Screen Location: Commissioner screens</t>
  </si>
  <si>
    <t>From Commissioner screens, open the screen and confirm the page title, tables/sections, and primary buttons are visible.</t>
  </si>
  <si>
    <t>Commissioner</t>
  </si>
  <si>
    <t>TRC-FE-PAGE-6.09</t>
  </si>
  <si>
    <t>frontend/src/pages/commissioner/CommishAdmin.jsx</t>
  </si>
  <si>
    <t>6.10</t>
  </si>
  <si>
    <t>From this Commissioner screen, change a setting and click Save, then refresh the page.</t>
  </si>
  <si>
    <t>The saved setting remains correct after refresh and is visible to users where applicable.</t>
  </si>
  <si>
    <t>TRC-FE-PAGE-6.10</t>
  </si>
  <si>
    <t>6.11</t>
  </si>
  <si>
    <t>Screen Location: Menu &gt; Commissioner</t>
  </si>
  <si>
    <t>From Menu &gt; Commissioner, open the screen and confirm the page title, tables/sections, and primary buttons are visible.</t>
  </si>
  <si>
    <t>TRC-FE-PAGE-6.11</t>
  </si>
  <si>
    <t>frontend/src/pages/commissioner/CommissionerDashboard.jsx</t>
  </si>
  <si>
    <t>6.12</t>
  </si>
  <si>
    <t>TRC-FE-PAGE-6.12</t>
  </si>
  <si>
    <t>6.13</t>
  </si>
  <si>
    <t>TRC-FE-PAGE-6.13</t>
  </si>
  <si>
    <t>frontend/src/pages/commissioner/components/DraftBudgetsModal.jsx</t>
  </si>
  <si>
    <t>6.14</t>
  </si>
  <si>
    <t>TRC-FE-PAGE-6.14</t>
  </si>
  <si>
    <t>6.15</t>
  </si>
  <si>
    <t>TRC-FE-PAGE-6.15</t>
  </si>
  <si>
    <t>frontend/src/pages/commissioner/components/OwnerManagementModal.jsx</t>
  </si>
  <si>
    <t>6.16</t>
  </si>
  <si>
    <t>TRC-FE-PAGE-6.16</t>
  </si>
  <si>
    <t>6.17</t>
  </si>
  <si>
    <t>TRC-FE-PAGE-6.17</t>
  </si>
  <si>
    <t>frontend/src/pages/commissioner/components/ScoringRulesModal.jsx</t>
  </si>
  <si>
    <t>6.18</t>
  </si>
  <si>
    <t>TRC-FE-PAGE-6.18</t>
  </si>
  <si>
    <t>6.19</t>
  </si>
  <si>
    <t>TRC-FE-PAGE-6.19</t>
  </si>
  <si>
    <t>frontend/src/pages/commissioner/components/TradeRulesModal.jsx</t>
  </si>
  <si>
    <t>6.20</t>
  </si>
  <si>
    <t>TRC-FE-PAGE-6.20</t>
  </si>
  <si>
    <t>6.21</t>
  </si>
  <si>
    <t>TRC-FE-PAGE-6.21</t>
  </si>
  <si>
    <t>frontend/src/pages/commissioner/components/WaiverWireRulesModal.jsx</t>
  </si>
  <si>
    <t>6.22</t>
  </si>
  <si>
    <t>TRC-FE-PAGE-6.22</t>
  </si>
  <si>
    <t>6.23</t>
  </si>
  <si>
    <t>Screen Location: Commissioner &gt; Ledger Statement</t>
  </si>
  <si>
    <t>From Commissioner &gt; Ledger Statement, open the screen and confirm the page title, tables/sections, and primary buttons are visible.</t>
  </si>
  <si>
    <t>TRC-FE-PAGE-6.23</t>
  </si>
  <si>
    <t>frontend/src/pages/commissioner/LedgerStatement.jsx</t>
  </si>
  <si>
    <t>6.24</t>
  </si>
  <si>
    <t>TRC-FE-PAGE-6.24</t>
  </si>
  <si>
    <t>6.25</t>
  </si>
  <si>
    <t>Screen Location: Commissioner &gt; Lineup Rules</t>
  </si>
  <si>
    <t>From Commissioner &gt; Lineup Rules, open the screen and confirm the page title, tables/sections, and primary buttons are visible.</t>
  </si>
  <si>
    <t>TRC-FE-PAGE-6.25</t>
  </si>
  <si>
    <t>frontend/src/pages/commissioner/LineupRules.jsx</t>
  </si>
  <si>
    <t>6.26</t>
  </si>
  <si>
    <t>TRC-FE-PAGE-6.26</t>
  </si>
  <si>
    <t>6.27</t>
  </si>
  <si>
    <t>Screen Location: Commissioner &gt; Manage Divisions</t>
  </si>
  <si>
    <t>From Commissioner &gt; Manage Divisions, open the screen and confirm the page title, tables/sections, and primary buttons are visible.</t>
  </si>
  <si>
    <t>TRC-FE-PAGE-6.27</t>
  </si>
  <si>
    <t>frontend/src/pages/commissioner/ManageDivisions.jsx</t>
  </si>
  <si>
    <t>6.28</t>
  </si>
  <si>
    <t>TRC-FE-PAGE-6.28</t>
  </si>
  <si>
    <t>6.29</t>
  </si>
  <si>
    <t>Screen Location: Commissioner &gt; Keeper Rules</t>
  </si>
  <si>
    <t>From Commissioner &gt; Keeper Rules, open the screen and confirm the page title, tables/sections, and primary buttons are visible.</t>
  </si>
  <si>
    <t>TRC-FE-PAGE-6.29</t>
  </si>
  <si>
    <t>frontend/src/pages/commissioner/ManageKeeperRules.jsx</t>
  </si>
  <si>
    <t>6.30</t>
  </si>
  <si>
    <t>TRC-FE-PAGE-6.30</t>
  </si>
  <si>
    <t>6.31</t>
  </si>
  <si>
    <t>Screen Location: Commissioner &gt; Manage Owners</t>
  </si>
  <si>
    <t>From Commissioner &gt; Manage Owners, open the screen and confirm the page title, tables/sections, and primary buttons are visible.</t>
  </si>
  <si>
    <t>TRC-FE-PAGE-6.31</t>
  </si>
  <si>
    <t>frontend/src/pages/commissioner/ManageOwners.jsx</t>
  </si>
  <si>
    <t>6.32</t>
  </si>
  <si>
    <t>TRC-FE-PAGE-6.32</t>
  </si>
  <si>
    <t>6.33</t>
  </si>
  <si>
    <t>TRC-FE-PAGE-6.33</t>
  </si>
  <si>
    <t>frontend/src/pages/commissioner/ManageScoringRules.jsx</t>
  </si>
  <si>
    <t>6.34</t>
  </si>
  <si>
    <t>TRC-FE-PAGE-6.34</t>
  </si>
  <si>
    <t>6.35</t>
  </si>
  <si>
    <t>Screen Location: Commissioner &gt; Manage Trades</t>
  </si>
  <si>
    <t>From Commissioner &gt; Manage Trades, open the screen and confirm the page title, tables/sections, and primary buttons are visible.</t>
  </si>
  <si>
    <t>TRC-FE-PAGE-6.35</t>
  </si>
  <si>
    <t>frontend/src/pages/commissioner/ManageTrades.jsx</t>
  </si>
  <si>
    <t>6.36</t>
  </si>
  <si>
    <t>TRC-FE-PAGE-6.36</t>
  </si>
  <si>
    <t>6.37</t>
  </si>
  <si>
    <t>Screen Location: Commissioner &gt; Manage Waiver Rules</t>
  </si>
  <si>
    <t>From Commissioner &gt; Manage Waiver Rules, open the screen and confirm the page title, tables/sections, and primary buttons are visible.</t>
  </si>
  <si>
    <t>TRC-FE-PAGE-6.37</t>
  </si>
  <si>
    <t>frontend/src/pages/commissioner/ManageWaiverRules.jsx</t>
  </si>
  <si>
    <t>6.38</t>
  </si>
  <si>
    <t>TRC-FE-PAGE-6.38</t>
  </si>
  <si>
    <t>6.39</t>
  </si>
  <si>
    <t>Screen Location: Dashboard Screen</t>
  </si>
  <si>
    <t>From Dashboard Screen, open the screen and confirm the page title, tables/sections, and primary buttons are visible.</t>
  </si>
  <si>
    <t>TRC-FE-PAGE-6.39</t>
  </si>
  <si>
    <t>frontend/src/pages/Dashboard.jsx</t>
  </si>
  <si>
    <t>6.40</t>
  </si>
  <si>
    <t>From Dashboard Screen, complete one common user action (save, filter, navigate, or submit), then refresh the page.</t>
  </si>
  <si>
    <t>TRC-FE-PAGE-6.40</t>
  </si>
  <si>
    <t>6.41</t>
  </si>
  <si>
    <t>Screen Location: Menu &gt; War Room</t>
  </si>
  <si>
    <t>From Menu &gt; War Room, open the screen and confirm the page title, tables/sections, and primary buttons are visible.</t>
  </si>
  <si>
    <t>TRC-FE-PAGE-6.41</t>
  </si>
  <si>
    <t>frontend/src/pages/DraftBoard.jsx</t>
  </si>
  <si>
    <t>6.42</t>
  </si>
  <si>
    <t>From Menu &gt; War Room, complete one common user action (save, filter, navigate, or submit), then refresh the page.</t>
  </si>
  <si>
    <t>TRC-FE-PAGE-6.42</t>
  </si>
  <si>
    <t>6.43</t>
  </si>
  <si>
    <t>Screen Location: Menu &gt; Draft Day Analyzer</t>
  </si>
  <si>
    <t>From Menu &gt; Draft Day Analyzer, open the screen and confirm the page title, tables/sections, and primary buttons are visible.</t>
  </si>
  <si>
    <t>TRC-FE-PAGE-6.43</t>
  </si>
  <si>
    <t>frontend/src/pages/DraftDayAnalyzer.jsx</t>
  </si>
  <si>
    <t>6.44</t>
  </si>
  <si>
    <t>From Menu &gt; Draft Day Analyzer, complete one common user action (save, filter, navigate, or submit), then refresh the page.</t>
  </si>
  <si>
    <t>TRC-FE-PAGE-6.44</t>
  </si>
  <si>
    <t>6.45</t>
  </si>
  <si>
    <t>Screen Location: Main app screens</t>
  </si>
  <si>
    <t>From Main app screens, open the screen and confirm the page title, tables/sections, and primary buttons are visible.</t>
  </si>
  <si>
    <t>TRC-FE-PAGE-6.45</t>
  </si>
  <si>
    <t>frontend/src/pages/home/components/BracketAccordion.jsx</t>
  </si>
  <si>
    <t>6.46</t>
  </si>
  <si>
    <t>From Main app screens, complete one common user action (save, filter, navigate, or submit), then refresh the page.</t>
  </si>
  <si>
    <t>TRC-FE-PAGE-6.46</t>
  </si>
  <si>
    <t>6.47</t>
  </si>
  <si>
    <t>Screen Location: Menu &gt; Home</t>
  </si>
  <si>
    <t>From Menu &gt; Home, open the screen and confirm the page title, tables/sections, and primary buttons are visible.</t>
  </si>
  <si>
    <t>TRC-FE-PAGE-6.47</t>
  </si>
  <si>
    <t>frontend/src/pages/home/Home.jsx</t>
  </si>
  <si>
    <t>6.48</t>
  </si>
  <si>
    <t>From Menu &gt; Home, complete one common user action (save, filter, navigate, or submit), then refresh the page.</t>
  </si>
  <si>
    <t>TRC-FE-PAGE-6.48</t>
  </si>
  <si>
    <t>6.49</t>
  </si>
  <si>
    <t>Screen Location: Menu &gt; Keepers</t>
  </si>
  <si>
    <t>From Menu &gt; Keepers, open the screen and confirm the page title, tables/sections, and primary buttons are visible.</t>
  </si>
  <si>
    <t>TRC-FE-PAGE-6.49</t>
  </si>
  <si>
    <t>frontend/src/pages/Keepers.jsx</t>
  </si>
  <si>
    <t>6.50</t>
  </si>
  <si>
    <t>From Menu &gt; Keepers, complete one common user action (save, filter, navigate, or submit), then refresh the page.</t>
  </si>
  <si>
    <t>TRC-FE-PAGE-6.50</t>
  </si>
  <si>
    <t>6.51</t>
  </si>
  <si>
    <t>Screen Location: Locker Room Screen</t>
  </si>
  <si>
    <t>From Locker Room Screen, open the screen and confirm the page title, tables/sections, and primary buttons are visible.</t>
  </si>
  <si>
    <t>TRC-FE-PAGE-6.51</t>
  </si>
  <si>
    <t>frontend/src/pages/LockerRoom.jsx</t>
  </si>
  <si>
    <t>6.52</t>
  </si>
  <si>
    <t>From Locker Room Screen, complete one common user action (save, filter, navigate, or submit), then refresh the page.</t>
  </si>
  <si>
    <t>TRC-FE-PAGE-6.52</t>
  </si>
  <si>
    <t>6.53</t>
  </si>
  <si>
    <t>Screen Location: Matchups &gt; Game Center</t>
  </si>
  <si>
    <t>From Matchups &gt; Game Center, open the screen and confirm the page title, tables/sections, and primary buttons are visible.</t>
  </si>
  <si>
    <t>TRC-FE-PAGE-6.53</t>
  </si>
  <si>
    <t>frontend/src/pages/matchups/GameCenter.jsx</t>
  </si>
  <si>
    <t>6.54</t>
  </si>
  <si>
    <t>From Matchups &gt; Game Center, complete one common user action (save, filter, navigate, or submit), then refresh the page.</t>
  </si>
  <si>
    <t>TRC-FE-PAGE-6.54</t>
  </si>
  <si>
    <t>6.55</t>
  </si>
  <si>
    <t>Screen Location: Menu &gt; Matchups</t>
  </si>
  <si>
    <t>From Menu &gt; Matchups, open the screen and confirm the page title, tables/sections, and primary buttons are visible.</t>
  </si>
  <si>
    <t>TRC-FE-PAGE-6.55</t>
  </si>
  <si>
    <t>frontend/src/pages/matchups/Matchups.jsx</t>
  </si>
  <si>
    <t>6.56</t>
  </si>
  <si>
    <t>From Menu &gt; Matchups, complete one common user action (save, filter, navigate, or submit), then refresh the page.</t>
  </si>
  <si>
    <t>TRC-FE-PAGE-6.56</t>
  </si>
  <si>
    <t>6.57</t>
  </si>
  <si>
    <t>Screen Location: Menu &gt; Playoff Bracket</t>
  </si>
  <si>
    <t>From Menu &gt; Playoff Bracket, open the screen and confirm the page title, tables/sections, and primary buttons are visible.</t>
  </si>
  <si>
    <t>TRC-FE-PAGE-6.57</t>
  </si>
  <si>
    <t>frontend/src/pages/playoffs/PlayoffBracket.jsx</t>
  </si>
  <si>
    <t>6.58</t>
  </si>
  <si>
    <t>From Menu &gt; Playoff Bracket, complete one common user action (save, filter, navigate, or submit), then refresh the page.</t>
  </si>
  <si>
    <t>TRC-FE-PAGE-6.58</t>
  </si>
  <si>
    <t>6.59</t>
  </si>
  <si>
    <t>Screen Location: Menu &gt; Ledger</t>
  </si>
  <si>
    <t>From Menu &gt; Ledger, open the screen and confirm the page title, tables/sections, and primary buttons are visible.</t>
  </si>
  <si>
    <t>TRC-FE-PAGE-6.59</t>
  </si>
  <si>
    <t>frontend/src/pages/team-owner/LedgerStatementOwner.jsx</t>
  </si>
  <si>
    <t>6.60</t>
  </si>
  <si>
    <t>From Menu &gt; Ledger, complete one common user action (save, filter, navigate, or submit), then refresh the page.</t>
  </si>
  <si>
    <t>TRC-FE-PAGE-6.60</t>
  </si>
  <si>
    <t>6.61</t>
  </si>
  <si>
    <t>TRC-FE-PAGE-6.61</t>
  </si>
  <si>
    <t>frontend/src/pages/team-owner/MyTeam.jsx</t>
  </si>
  <si>
    <t>6.62</t>
  </si>
  <si>
    <t>TRC-FE-PAGE-6.62</t>
  </si>
  <si>
    <t>6.63</t>
  </si>
  <si>
    <t>Screen Location: Menu &gt; My Team</t>
  </si>
  <si>
    <t>From Menu &gt; My Team, open the screen and confirm the page title, tables/sections, and primary buttons are visible.</t>
  </si>
  <si>
    <t>TRC-FE-PAGE-6.63</t>
  </si>
  <si>
    <t>frontend/src/pages/team-owner/YourLockerRoom.jsx</t>
  </si>
  <si>
    <t>6.64</t>
  </si>
  <si>
    <t>From Menu &gt; My Team, complete one common user action (save, filter, navigate, or submit), then refresh the page.</t>
  </si>
  <si>
    <t>TRC-FE-PAGE-6.64</t>
  </si>
  <si>
    <t>6.65</t>
  </si>
  <si>
    <t>Screen Location: Waiver Rules Screen</t>
  </si>
  <si>
    <t>From Waiver Rules Screen, open the screen and confirm the page title, tables/sections, and primary buttons are visible.</t>
  </si>
  <si>
    <t>TRC-FE-PAGE-6.65</t>
  </si>
  <si>
    <t>frontend/src/pages/WaiverRules.jsx</t>
  </si>
  <si>
    <t>6.66</t>
  </si>
  <si>
    <t>From Waiver Rules Screen, complete one common user action (save, filter, navigate, or submit), then refresh the page.</t>
  </si>
  <si>
    <t>TRC-FE-PAGE-6.66</t>
  </si>
  <si>
    <t>6.67</t>
  </si>
  <si>
    <t>Screen Location: Menu &gt; Waiver Wire</t>
  </si>
  <si>
    <t>From Menu &gt; Waiver Wire, open the screen and confirm the page title, tables/sections, and primary buttons are visible.</t>
  </si>
  <si>
    <t>TRC-FE-PAGE-6.67</t>
  </si>
  <si>
    <t>frontend/src/pages/WaiverWire.jsx</t>
  </si>
  <si>
    <t>6.68</t>
  </si>
  <si>
    <t>From Menu &gt; Waiver Wire, submit a waiver claim and then refresh the page.</t>
  </si>
  <si>
    <t>The waiver claim is accepted and still appears correctly after refresh.</t>
  </si>
  <si>
    <t>TRC-FE-PAGE-6.68</t>
  </si>
  <si>
    <t>Full Frontend Component Coverage - Reusable and page-local component behavior checks.</t>
  </si>
  <si>
    <t>7.01</t>
  </si>
  <si>
    <t>UI Element: Admin Action Card</t>
  </si>
  <si>
    <t>On Admin Settings screens, find the Admin Action Card and test it in at least two states (for example default and after a click or selection).</t>
  </si>
  <si>
    <t>The element is clear, reacts correctly, and does not break nearby tables, cards, or page layout.</t>
  </si>
  <si>
    <t>TRC-FE-COMP-7.01</t>
  </si>
  <si>
    <t>frontend/src/components/admin/AdminActionCard.jsx</t>
  </si>
  <si>
    <t>7.02</t>
  </si>
  <si>
    <t>UI Element: Admin Settings Element</t>
  </si>
  <si>
    <t>On Admin Settings screens, find the Admin Settings Element and test it in at least two states (for example default and after a click or selection).</t>
  </si>
  <si>
    <t>TRC-FE-COMP-7.02</t>
  </si>
  <si>
    <t>frontend/src/components/admin/AdminSettings.jsx</t>
  </si>
  <si>
    <t>7.03</t>
  </si>
  <si>
    <t>UI Element: Admin Nav Element</t>
  </si>
  <si>
    <t>On the related app screen, find the Admin Nav Element and test it in at least two states (for example default and after a click or selection).</t>
  </si>
  <si>
    <t>TRC-FE-COMP-7.03</t>
  </si>
  <si>
    <t>frontend/src/components/AdminNav.jsx</t>
  </si>
  <si>
    <t>7.04</t>
  </si>
  <si>
    <t>UI Element: Draft Value Board Element</t>
  </si>
  <si>
    <t>On Analytics and chart sections, find the Draft Value Board Element and test it in at least two states (for example default and after a click or selection).</t>
  </si>
  <si>
    <t>TRC-FE-COMP-7.04</t>
  </si>
  <si>
    <t>frontend/src/components/charts/DraftValueBoard.jsx</t>
  </si>
  <si>
    <t>7.05</t>
  </si>
  <si>
    <t>UI Element: Manager Efficiency Leaderboard Element</t>
  </si>
  <si>
    <t>On Analytics and chart sections, find the Manager Efficiency Leaderboard Element and test it in at least two states (for example default and after a click or selection).</t>
  </si>
  <si>
    <t>TRC-FE-COMP-7.05</t>
  </si>
  <si>
    <t>frontend/src/components/charts/ManagerEfficiencyLeaderboard.jsx</t>
  </si>
  <si>
    <t>7.06</t>
  </si>
  <si>
    <t>UI Element: Manager Trend Chart Element</t>
  </si>
  <si>
    <t>On Analytics and chart sections, find the Manager Trend Chart Element and test it in at least two states (for example default and after a click or selection).</t>
  </si>
  <si>
    <t>TRC-FE-COMP-7.06</t>
  </si>
  <si>
    <t>frontend/src/components/charts/ManagerTrendChart.jsx</t>
  </si>
  <si>
    <t>7.07</t>
  </si>
  <si>
    <t>UI Element: Player Heatmap Element</t>
  </si>
  <si>
    <t>On Analytics and chart sections, find the Player Heatmap Element and test it in at least two states (for example default and after a click or selection).</t>
  </si>
  <si>
    <t>TRC-FE-COMP-7.07</t>
  </si>
  <si>
    <t>frontend/src/components/charts/PlayerHeatmap.jsx</t>
  </si>
  <si>
    <t>7.08</t>
  </si>
  <si>
    <t>UI Element: Rivalry Graph Element</t>
  </si>
  <si>
    <t>On Analytics and chart sections, find the Rivalry Graph Element and test it in at least two states (for example default and after a click or selection).</t>
  </si>
  <si>
    <t>TRC-FE-COMP-7.08</t>
  </si>
  <si>
    <t>frontend/src/components/charts/RivalryGraph.jsx</t>
  </si>
  <si>
    <t>7.09</t>
  </si>
  <si>
    <t>UI Element: Trade Analyzer Element</t>
  </si>
  <si>
    <t>On Analytics and chart sections, find the Trade Analyzer Element and test it in at least two states (for example default and after a click or selection).</t>
  </si>
  <si>
    <t>TRC-FE-COMP-7.09</t>
  </si>
  <si>
    <t>frontend/src/components/charts/TradeAnalyzer.jsx</t>
  </si>
  <si>
    <t>7.10</t>
  </si>
  <si>
    <t>UI Element: Weekly Matchup Chart Element</t>
  </si>
  <si>
    <t>On Analytics and chart sections, find the Weekly Matchup Chart Element and test it in at least two states (for example default and after a click or selection).</t>
  </si>
  <si>
    <t>TRC-FE-COMP-7.10</t>
  </si>
  <si>
    <t>frontend/src/components/charts/WeeklyMatchupChart.jsx</t>
  </si>
  <si>
    <t>7.11</t>
  </si>
  <si>
    <t>UI Element: Chat Interface Element</t>
  </si>
  <si>
    <t>On League Advisor chat area, find the Chat Interface Element and test it in at least two states (for example default and after a click or selection).</t>
  </si>
  <si>
    <t>TRC-FE-COMP-7.11</t>
  </si>
  <si>
    <t>frontend/src/components/chat/ChatInterface.jsx</t>
  </si>
  <si>
    <t>7.12</t>
  </si>
  <si>
    <t>UI Element: Gemini Badge Element</t>
  </si>
  <si>
    <t>On League Advisor chat area, find the Gemini Badge Element and test it in at least two states (for example default and after a click or selection).</t>
  </si>
  <si>
    <t>TRC-FE-COMP-7.12</t>
  </si>
  <si>
    <t>frontend/src/components/chat/GeminiBadge.jsx</t>
  </si>
  <si>
    <t>7.13</t>
  </si>
  <si>
    <t>UI Element: Auction Block Element</t>
  </si>
  <si>
    <t>On War Room draft screens, find the Auction Block Element and test it in at least two states (for example default and after a click or selection).</t>
  </si>
  <si>
    <t>TRC-FE-COMP-7.13</t>
  </si>
  <si>
    <t>frontend/src/components/draft/AuctionBlock.jsx</t>
  </si>
  <si>
    <t>7.14</t>
  </si>
  <si>
    <t>UI Element: Auction Interface Element</t>
  </si>
  <si>
    <t>On War Room draft screens, find the Auction Interface Element and test it in at least two states (for example default and after a click or selection).</t>
  </si>
  <si>
    <t>TRC-FE-COMP-7.14</t>
  </si>
  <si>
    <t>frontend/src/components/draft/AuctionInterface.jsx</t>
  </si>
  <si>
    <t>7.15</t>
  </si>
  <si>
    <t>UI Element: Best Available List Element</t>
  </si>
  <si>
    <t>On War Room draft screens, find the Best Available List Element and test it in at least two states (for example default and after a click or selection).</t>
  </si>
  <si>
    <t>TRC-FE-COMP-7.15</t>
  </si>
  <si>
    <t>frontend/src/components/draft/BestAvailableList.jsx</t>
  </si>
  <si>
    <t>7.16</t>
  </si>
  <si>
    <t>UI Element: Draft Board Grid Element</t>
  </si>
  <si>
    <t>On War Room draft screens, find the Draft Board Grid Element and test it in at least two states (for example default and after a click or selection).</t>
  </si>
  <si>
    <t>TRC-FE-COMP-7.16</t>
  </si>
  <si>
    <t>frontend/src/components/draft/DraftBoardGrid.jsx</t>
  </si>
  <si>
    <t>7.17</t>
  </si>
  <si>
    <t>UI Element: Draft History Feed Element</t>
  </si>
  <si>
    <t>On War Room draft screens, find the Draft History Feed Element and test it in at least two states (for example default and after a click or selection).</t>
  </si>
  <si>
    <t>TRC-FE-COMP-7.17</t>
  </si>
  <si>
    <t>frontend/src/components/draft/DraftHistoryFeed.jsx</t>
  </si>
  <si>
    <t>7.18</t>
  </si>
  <si>
    <t>UI Element: Draft Dynamics Panel</t>
  </si>
  <si>
    <t>On War Room draft screens, find the Draft Dynamics Panel and test it in at least two states (for example default and after a click or selection).</t>
  </si>
  <si>
    <t>TRC-FE-COMP-7.18</t>
  </si>
  <si>
    <t>frontend/src/components/draft/insights/DraftDynamicsPanel.jsx</t>
  </si>
  <si>
    <t>7.19</t>
  </si>
  <si>
    <t>UI Element: Owner Strategy Panel</t>
  </si>
  <si>
    <t>On War Room draft screens, find the Owner Strategy Panel and test it in at least two states (for example default and after a click or selection).</t>
  </si>
  <si>
    <t>TRC-FE-COMP-7.19</t>
  </si>
  <si>
    <t>frontend/src/components/draft/insights/OwnerStrategyPanel.jsx</t>
  </si>
  <si>
    <t>7.20</t>
  </si>
  <si>
    <t>UI Element: Player Insight Card</t>
  </si>
  <si>
    <t>On War Room draft screens, find the Player Insight Card and test it in at least two states (for example default and after a click or selection).</t>
  </si>
  <si>
    <t>TRC-FE-COMP-7.20</t>
  </si>
  <si>
    <t>frontend/src/components/draft/insights/PlayerInsightCard.jsx</t>
  </si>
  <si>
    <t>7.21</t>
  </si>
  <si>
    <t>UI Element: Owner Card</t>
  </si>
  <si>
    <t>On War Room draft screens, find the Owner Card and test it in at least two states (for example default and after a click or selection).</t>
  </si>
  <si>
    <t>TRC-FE-COMP-7.21</t>
  </si>
  <si>
    <t>frontend/src/components/draft/OwnerCard.jsx</t>
  </si>
  <si>
    <t>7.22</t>
  </si>
  <si>
    <t>UI Element: Session Header Element</t>
  </si>
  <si>
    <t>On War Room draft screens, find the Session Header Element and test it in at least two states (for example default and after a click or selection).</t>
  </si>
  <si>
    <t>TRC-FE-COMP-7.22</t>
  </si>
  <si>
    <t>frontend/src/components/draft/SessionHeader.jsx</t>
  </si>
  <si>
    <t>7.23</t>
  </si>
  <si>
    <t>UI Element: Feed Pill Element</t>
  </si>
  <si>
    <t>On the related app screen, find the Feed Pill Element and test it in at least two states (for example default and after a click or selection).</t>
  </si>
  <si>
    <t>TRC-FE-COMP-7.23</t>
  </si>
  <si>
    <t>frontend/src/components/feeds/FeedPill.jsx</t>
  </si>
  <si>
    <t>7.24</t>
  </si>
  <si>
    <t>UI Element: Loading Indicator</t>
  </si>
  <si>
    <t>On the related app screen, find the Loading Indicator and test it in at least two states (for example default and after a click or selection).</t>
  </si>
  <si>
    <t>TRC-FE-COMP-7.24</t>
  </si>
  <si>
    <t>frontend/src/components/GlobalLoader.jsx</t>
  </si>
  <si>
    <t>7.25</t>
  </si>
  <si>
    <t>UI Element: Global Search Bar</t>
  </si>
  <si>
    <t>On the related app screen, find the Global Search Bar and test it in at least two states (for example default and after a click or selection).</t>
  </si>
  <si>
    <t>TRC-FE-COMP-7.25</t>
  </si>
  <si>
    <t>frontend/src/components/GlobalSearch.jsx</t>
  </si>
  <si>
    <t>7.26</t>
  </si>
  <si>
    <t>UI Element: Layout Element</t>
  </si>
  <si>
    <t>On the related app screen, find the Layout Element and test it in at least two states (for example default and after a click or selection).</t>
  </si>
  <si>
    <t>TRC-FE-COMP-7.26</t>
  </si>
  <si>
    <t>frontend/src/components/Layout.jsx</t>
  </si>
  <si>
    <t>7.27</t>
  </si>
  <si>
    <t>UI Element: League Advisor Panel</t>
  </si>
  <si>
    <t>On the related app screen, find the League Advisor Panel and test it in at least two states (for example default and after a click or selection).</t>
  </si>
  <si>
    <t>TRC-FE-COMP-7.27</t>
  </si>
  <si>
    <t>frontend/src/components/LeagueAdvisor.jsx</t>
  </si>
  <si>
    <t>7.28</t>
  </si>
  <si>
    <t>UI Element: League Selector</t>
  </si>
  <si>
    <t>On the related app screen, find the League Selector and test it in at least two states (for example default and after a click or selection).</t>
  </si>
  <si>
    <t>TRC-FE-COMP-7.28</t>
  </si>
  <si>
    <t>frontend/src/components/LeagueSelector.jsx</t>
  </si>
  <si>
    <t>7.29</t>
  </si>
  <si>
    <t>UI Element: Player Identity Card</t>
  </si>
  <si>
    <t>On Player detail sections, find the Player Identity Card and test it in at least two states (for example default and after a click or selection).</t>
  </si>
  <si>
    <t>TRC-FE-COMP-7.29</t>
  </si>
  <si>
    <t>frontend/src/components/player/PlayerIdentityCard.jsx</t>
  </si>
  <si>
    <t>7.30</t>
  </si>
  <si>
    <t>UI Element: Sidebar Menu</t>
  </si>
  <si>
    <t>On the related app screen, find the Sidebar Menu and test it in at least two states (for example default and after a click or selection).</t>
  </si>
  <si>
    <t>TRC-FE-COMP-7.30</t>
  </si>
  <si>
    <t>frontend/src/components/Sidebar.jsx</t>
  </si>
  <si>
    <t>7.31</t>
  </si>
  <si>
    <t>UI Element: Team Logo</t>
  </si>
  <si>
    <t>On the related app screen, find the Team Logo and test it in at least two states (for example default and after a click or selection).</t>
  </si>
  <si>
    <t>TRC-FE-COMP-7.31</t>
  </si>
  <si>
    <t>frontend/src/components/TeamLogo.jsx</t>
  </si>
  <si>
    <t>7.32</t>
  </si>
  <si>
    <t>UI Element: Theme Toggle</t>
  </si>
  <si>
    <t>On the related app screen, find the Theme Toggle and test it in at least two states (for example default and after a click or selection).</t>
  </si>
  <si>
    <t>TRC-FE-COMP-7.32</t>
  </si>
  <si>
    <t>frontend/src/components/ThemeToggle.jsx</t>
  </si>
  <si>
    <t>7.33</t>
  </si>
  <si>
    <t>UI Element: Toast Element</t>
  </si>
  <si>
    <t>On the related app screen, find the Toast Element and test it in at least two states (for example default and after a click or selection).</t>
  </si>
  <si>
    <t>TRC-FE-COMP-7.33</t>
  </si>
  <si>
    <t>frontend/src/components/Toast.jsx</t>
  </si>
  <si>
    <t>7.34</t>
  </si>
  <si>
    <t>UI Element: Waiver Claim Window</t>
  </si>
  <si>
    <t>On Waiver Wire screens, find the Waiver Claim Window and test it in at least two states (for example default and after a click or selection).</t>
  </si>
  <si>
    <t>TRC-FE-COMP-7.34</t>
  </si>
  <si>
    <t>frontend/src/components/waivers/ClaimModal.jsx</t>
  </si>
  <si>
    <t>7.35</t>
  </si>
  <si>
    <t>UI Element: Drop Player Window</t>
  </si>
  <si>
    <t>On Waiver Wire screens, find the Drop Player Window and test it in at least two states (for example default and after a click or selection).</t>
  </si>
  <si>
    <t>TRC-FE-COMP-7.35</t>
  </si>
  <si>
    <t>frontend/src/components/waivers/DropPlayerModal.jsx</t>
  </si>
  <si>
    <t>7.36</t>
  </si>
  <si>
    <t>UI Element: Waiver Position Tabs Element</t>
  </si>
  <si>
    <t>On Waiver Wire screens, find the Waiver Position Tabs Element and test it in at least two states (for example default and after a click or selection).</t>
  </si>
  <si>
    <t>TRC-FE-COMP-7.36</t>
  </si>
  <si>
    <t>frontend/src/components/waivers/WaiverPositionTabs.jsx</t>
  </si>
  <si>
    <t>7.37</t>
  </si>
  <si>
    <t>UI Element: Waiver Players Table</t>
  </si>
  <si>
    <t>On Waiver Wire screens, find the Waiver Players Table and test it in at least two states (for example default and after a click or selection).</t>
  </si>
  <si>
    <t>TRC-FE-COMP-7.37</t>
  </si>
  <si>
    <t>frontend/src/components/waivers/WaiverTable.jsx</t>
  </si>
  <si>
    <t>7.38</t>
  </si>
  <si>
    <t>UI Element: Draft Budgets Modal Element</t>
  </si>
  <si>
    <t>On Commissioner pop-up windows, find the Draft Budgets Modal Element and test it in at least two states (for example default and after a click or selection).</t>
  </si>
  <si>
    <t>TRC-FE-COMP-7.38</t>
  </si>
  <si>
    <t>7.39</t>
  </si>
  <si>
    <t>UI Element: Owner Management Modal Element</t>
  </si>
  <si>
    <t>On Commissioner pop-up windows, find the Owner Management Modal Element and test it in at least two states (for example default and after a click or selection).</t>
  </si>
  <si>
    <t>TRC-FE-COMP-7.39</t>
  </si>
  <si>
    <t>7.40</t>
  </si>
  <si>
    <t>UI Element: Scoring Rules Modal Element</t>
  </si>
  <si>
    <t>On Commissioner pop-up windows, find the Scoring Rules Modal Element and test it in at least two states (for example default and after a click or selection).</t>
  </si>
  <si>
    <t>TRC-FE-COMP-7.40</t>
  </si>
  <si>
    <t>7.41</t>
  </si>
  <si>
    <t>UI Element: Trade Rules Modal Element</t>
  </si>
  <si>
    <t>On Commissioner pop-up windows, find the Trade Rules Modal Element and test it in at least two states (for example default and after a click or selection).</t>
  </si>
  <si>
    <t>TRC-FE-COMP-7.41</t>
  </si>
  <si>
    <t>7.42</t>
  </si>
  <si>
    <t>UI Element: Waiver Wire Rules Modal Element</t>
  </si>
  <si>
    <t>On Commissioner pop-up windows, find the Waiver Wire Rules Modal Element and test it in at least two states (for example default and after a click or selection).</t>
  </si>
  <si>
    <t>TRC-FE-COMP-7.42</t>
  </si>
  <si>
    <t>7.43</t>
  </si>
  <si>
    <t>UI Element: Playoff Bracket Section</t>
  </si>
  <si>
    <t>On Home screen sections, find the Playoff Bracket Section and test it in at least two states (for example default and after a click or selection).</t>
  </si>
  <si>
    <t>TRC-FE-COMP-7.43</t>
  </si>
  <si>
    <t>Yes</t>
  </si>
  <si>
    <t>New</t>
  </si>
  <si>
    <t>Critical</t>
  </si>
  <si>
    <t>ExecutionTier</t>
  </si>
  <si>
    <t>In Progress</t>
  </si>
  <si>
    <t>No</t>
  </si>
  <si>
    <t>Triaged</t>
  </si>
  <si>
    <t>Pass</t>
  </si>
  <si>
    <t>Low</t>
  </si>
  <si>
    <t>Partial</t>
  </si>
  <si>
    <t>Fail</t>
  </si>
  <si>
    <t>Mixed</t>
  </si>
  <si>
    <t>Fixed</t>
  </si>
  <si>
    <t>Blocked</t>
  </si>
  <si>
    <t>Retest</t>
  </si>
  <si>
    <t>Closed</t>
  </si>
  <si>
    <t>Deferred</t>
  </si>
  <si>
    <t>Master Defect ID</t>
  </si>
  <si>
    <t>Source Test ID</t>
  </si>
  <si>
    <t>Summary</t>
  </si>
  <si>
    <t>Rollup Status</t>
  </si>
  <si>
    <t>Severity</t>
  </si>
  <si>
    <t>Priority</t>
  </si>
  <si>
    <t>Environment</t>
  </si>
  <si>
    <t>Area/Page</t>
  </si>
  <si>
    <t>Candidate Code Path</t>
  </si>
  <si>
    <t>Repro Steps</t>
  </si>
  <si>
    <t>Evidence Link</t>
  </si>
  <si>
    <t>Owner</t>
  </si>
  <si>
    <t>Notes</t>
  </si>
  <si>
    <t>Date Reported</t>
  </si>
  <si>
    <t>Last Updated</t>
  </si>
  <si>
    <t>Roll-up Metrics</t>
  </si>
  <si>
    <t>CERT</t>
  </si>
  <si>
    <t>2026-03-07</t>
  </si>
  <si>
    <t>Total Defects</t>
  </si>
  <si>
    <t>Open Defects</t>
  </si>
  <si>
    <t>Closed Defects</t>
  </si>
  <si>
    <t>Deferred Defects</t>
  </si>
  <si>
    <t>Critical Severity</t>
  </si>
  <si>
    <t>High Severity</t>
  </si>
  <si>
    <t>Medium Severity</t>
  </si>
  <si>
    <t>Low Severity</t>
  </si>
  <si>
    <t>CERT Tagged</t>
  </si>
  <si>
    <t>Page:ManageCommissioners</t>
  </si>
  <si>
    <t>Page:SiteAdmin</t>
  </si>
  <si>
    <t>Page:AnalyticsDashboard</t>
  </si>
  <si>
    <t>Page:BugReport</t>
  </si>
  <si>
    <t>Page:CommishAdmin</t>
  </si>
  <si>
    <t>Page:CommissionerDashboard</t>
  </si>
  <si>
    <t>Page:DraftBudgetsModal</t>
  </si>
  <si>
    <t>Page:OwnerManagementModal</t>
  </si>
  <si>
    <t>Page:ScoringRulesModal</t>
  </si>
  <si>
    <t>Page:TradeRulesModal</t>
  </si>
  <si>
    <t>Page:WaiverWireRulesModal</t>
  </si>
  <si>
    <t>Page:LedgerStatement</t>
  </si>
  <si>
    <t>Page:LineupRules</t>
  </si>
  <si>
    <t>Page:ManageDivisions</t>
  </si>
  <si>
    <t>Page:ManageKeeperRules</t>
  </si>
  <si>
    <t>Page:ManageOwners</t>
  </si>
  <si>
    <t>Page:ManageScoringRules</t>
  </si>
  <si>
    <t>Page:ManageTrades</t>
  </si>
  <si>
    <t>Page:ManageWaiverRules</t>
  </si>
  <si>
    <t>Page:Dashboard</t>
  </si>
  <si>
    <t>Page:DraftBoard</t>
  </si>
  <si>
    <t>Page:DraftDayAnalyzer</t>
  </si>
  <si>
    <t>Page:BracketAccordion</t>
  </si>
  <si>
    <t>Page:Home</t>
  </si>
  <si>
    <t>Page:Keepers</t>
  </si>
  <si>
    <t>Page:LockerRoom</t>
  </si>
  <si>
    <t>Page:GameCenter</t>
  </si>
  <si>
    <t>Page:Matchups</t>
  </si>
  <si>
    <t>Page:PlayoffBracket</t>
  </si>
  <si>
    <t>Page:LedgerStatementOwner</t>
  </si>
  <si>
    <t>Page:MyTeam</t>
  </si>
  <si>
    <t>Page:YourLockerRoom</t>
  </si>
  <si>
    <t>Page:WaiverRules</t>
  </si>
  <si>
    <t>Page:WaiverWire</t>
  </si>
  <si>
    <t>Component:AdminActionCard</t>
  </si>
  <si>
    <t>Component:AdminSettings</t>
  </si>
  <si>
    <t>Component:AdminNav</t>
  </si>
  <si>
    <t>Component:DraftValueBoard</t>
  </si>
  <si>
    <t>Component:ManagerEfficiencyLeaderboard</t>
  </si>
  <si>
    <t>Component:ManagerTrendChart</t>
  </si>
  <si>
    <t>Component:PlayerHeatmap</t>
  </si>
  <si>
    <t>Component:RivalryGraph</t>
  </si>
  <si>
    <t>Component:TradeAnalyzer</t>
  </si>
  <si>
    <t>Component:WeeklyMatchupChart</t>
  </si>
  <si>
    <t>Component:ChatInterface</t>
  </si>
  <si>
    <t>Component:GeminiBadge</t>
  </si>
  <si>
    <t>Component:AuctionBlock</t>
  </si>
  <si>
    <t>Component:AuctionInterface</t>
  </si>
  <si>
    <t>Component:BestAvailableList</t>
  </si>
  <si>
    <t>Component:DraftBoardGrid</t>
  </si>
  <si>
    <t>Component:DraftHistoryFeed</t>
  </si>
  <si>
    <t>Component:DraftDynamicsPanel</t>
  </si>
  <si>
    <t>Component:OwnerStrategyPanel</t>
  </si>
  <si>
    <t>Component:PlayerInsightCard</t>
  </si>
  <si>
    <t>Component:OwnerCard</t>
  </si>
  <si>
    <t>Component:SessionHeader</t>
  </si>
  <si>
    <t>Component:FeedPill</t>
  </si>
  <si>
    <t>Component:GlobalLoader</t>
  </si>
  <si>
    <t>Component:GlobalSearch</t>
  </si>
  <si>
    <t>Component:Layout</t>
  </si>
  <si>
    <t>Component:LeagueAdvisor</t>
  </si>
  <si>
    <t>Component:LeagueSelector</t>
  </si>
  <si>
    <t>Component:PlayerIdentityCard</t>
  </si>
  <si>
    <t>Component:Sidebar</t>
  </si>
  <si>
    <t>Component:TeamLogo</t>
  </si>
  <si>
    <t>Component:ThemeToggle</t>
  </si>
  <si>
    <t>Component:Toast</t>
  </si>
  <si>
    <t>Component:ClaimModal</t>
  </si>
  <si>
    <t>Component:DropPlayerModal</t>
  </si>
  <si>
    <t>Component:WaiverPositionTabs</t>
  </si>
  <si>
    <t>Component:WaiverTable</t>
  </si>
  <si>
    <t>Component:DraftBudgetsModal</t>
  </si>
  <si>
    <t>Component:OwnerManagementModal</t>
  </si>
  <si>
    <t>Component:ScoringRulesModal</t>
  </si>
  <si>
    <t>Component:TradeRulesModal</t>
  </si>
  <si>
    <t>Component:WaiverWireRulesModal</t>
  </si>
  <si>
    <t>Component:BracketAccordion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</si>
</sst>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name val="Aptos Narrow"/>
    </font>
    <font>
      <b/>
      <i/>
      <sz val="12"/>
      <name val="Aptos Narrow"/>
    </font>
    <font>
      <b/>
      <i/>
      <sz val="11"/>
      <name val="Aptos Narrow"/>
    </font>
    <font>
      <i/>
      <sz val="11"/>
      <name val="Aptos Narrow"/>
    </font>
    <font>
      <b/>
      <i/>
      <sz val="11"/>
      <color rgb="FF9C0006"/>
      <name val="Aptos Narrow"/>
    </font>
    <font>
      <b/>
      <i/>
      <sz val="11"/>
      <color rgb="FF1F4E78"/>
      <name val="Aptos Narrow"/>
    </font>
    <font>
      <b/>
      <i/>
      <sz val="11"/>
      <color rgb="FF9C6500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7E6"/>
      </patternFill>
    </fill>
    <fill>
      <patternFill patternType="solid">
        <fgColor rgb="FFEEF6FF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3" borderId="0" xfId="0" applyFont="1" applyFill="1"/>
    <xf numFmtId="0" fontId="0" fillId="3" borderId="0" xfId="0" applyFill="1"/>
    <xf numFmtId="0" fontId="2" fillId="0" borderId="2" xfId="0" applyFont="1" applyBorder="1" applyAlignment="1">
      <alignment horizontal="left" vertical="center" wrapText="1" indent="1" readingOrder="1"/>
    </xf>
    <xf numFmtId="0" fontId="2" fillId="0" borderId="0" xfId="0" applyFont="1" applyAlignment="1">
      <alignment horizontal="left" vertical="center" wrapText="1" indent="1" readingOrder="1"/>
    </xf>
    <xf numFmtId="0" fontId="4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 indent="1" readingOrder="1"/>
    </xf>
    <xf numFmtId="49" fontId="0" fillId="0" borderId="0" xfId="0" applyNumberFormat="1"/>
    <xf numFmtId="0" fontId="4" fillId="0" borderId="0" xfId="0" applyFont="1"/>
    <xf numFmtId="0" fontId="4" fillId="5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4" fillId="4" borderId="0" xfId="0" applyFont="1" applyFill="1"/>
    <xf numFmtId="0" fontId="4" fillId="6" borderId="0" xfId="0" applyFont="1" applyFill="1"/>
    <xf numFmtId="0" fontId="5" fillId="7" borderId="0" xfId="0" applyFont="1" applyFill="1" applyAlignment="1">
      <alignment vertical="center" wrapText="1"/>
    </xf>
    <xf numFmtId="0" fontId="6" fillId="8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8" fillId="9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9" fillId="4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10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24">
    <dxf>
      <font>
        <b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/>
        <color rgb="FFFF000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microsoft.com/office/spreadsheetml/2009/9/main" xmlns:ns5="http://schemas.microsoft.com/office/excel/2006/main" ns1:Ignorable="x14ac xr xr2 xr3" ns2:uid="{00000000-0001-0000-0000-000000000000}">
  <dimension ref="A1:P197"/>
  <sheetViews>
    <sheetView tabSelected="1" workbookViewId="0">
      <pane ySplit="3" topLeftCell="A183" activePane="bottomLeft" state="frozen"/>
      <selection pane="bottomLeft" activeCell="E185" sqref="E185"/>
    </sheetView>
  </sheetViews>
  <sheetFormatPr defaultRowHeight="14.5" outlineLevelRow="1" ns3:dyDescent="0.35"/>
  <cols>
    <col min="1" max="1" width="52" bestFit="1" customWidth="1"/>
    <col min="2" max="2" width="10" bestFit="1" customWidth="1"/>
    <col min="3" max="3" width="16" bestFit="1" customWidth="1"/>
    <col min="4" max="4" width="8" bestFit="1" customWidth="1"/>
    <col min="5" max="5" width="46" customWidth="1"/>
    <col min="6" max="6" width="52" customWidth="1"/>
    <col min="7" max="7" width="16" customWidth="1"/>
    <col min="8" max="8" width="42" customWidth="1"/>
    <col min="9" max="9" width="14" bestFit="1" customWidth="1"/>
    <col min="10" max="10" width="26" bestFit="1" customWidth="1"/>
    <col min="11" max="11" width="16" bestFit="1" customWidth="1"/>
    <col min="12" max="12" width="14" customWidth="1"/>
    <col min="13" max="13" width="28" customWidth="1"/>
    <col min="14" max="14" width="24" customWidth="1"/>
    <col min="15" max="15" width="48" customWidth="1"/>
    <col min="16" max="16" width="18" customWidth="1"/>
  </cols>
  <sheetData>
    <row r="2" spans="1:16" ns3:dyDescent="0.35">
      <c r="A2" t="s">
        <v>0</v>
      </c>
      <c r="B2" t="s">
        <v>1</v>
      </c>
      <c r="C2" t="s">
        <v>2</v>
      </c>
      <c r="D2" t="s">
        <v>3</v>
      </c>
    </row>
    <row r="3" spans="1:16" ns3:dyDescent="0.35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7" t="s">
        <v>14</v>
      </c>
      <c r="L3" s="8" t="s">
        <v>15</v>
      </c>
      <c r="M3" s="8" t="s">
        <v>16</v>
      </c>
      <c r="N3" s="8" t="s">
        <v>17</v>
      </c>
      <c r="O3" s="8" t="s">
        <v>18</v>
      </c>
      <c r="P3" s="8" t="s">
        <v>19</v>
      </c>
    </row>
    <row r="4" spans="1:16" ht="19" customHeight="1" thickBot="1" ns3:dyDescent="0.4">
      <c r="A4" s="19" t="s">
        <v>20</v>
      </c>
      <c r="B4" s="4"/>
      <c r="C4" s="4"/>
      <c r="D4" s="4"/>
      <c r="E4" s="13"/>
      <c r="F4" s="13"/>
      <c r="G4" s="4"/>
      <c r="H4" s="13"/>
      <c r="I4" s="4"/>
      <c r="J4" s="13"/>
      <c r="K4" s="4"/>
      <c r="N4" s="14"/>
      <c r="O4" s="14"/>
    </row>
    <row r="5" spans="1:16" ht="28.5" customHeight="1" outlineLevel="1" thickBot="1" ns3:dyDescent="0.4">
      <c r="B5" s="9" t="s">
        <v>21</v>
      </c>
      <c r="C5" s="20" t="s">
        <v>22</v>
      </c>
      <c r="D5" s="2">
        <v>1</v>
      </c>
      <c r="E5" s="21" t="s">
        <v>23</v>
      </c>
      <c r="F5" s="22" t="s">
        <v>24</v>
      </c>
      <c r="G5" s="5" t="s">
        <v>25</v>
      </c>
      <c r="H5" s="14"/>
      <c r="I5" s="6" t="s">
        <v>26</v>
      </c>
      <c r="J5" s="14"/>
      <c r="L5" t="s">
        <v>27</v>
      </c>
      <c r="M5" t="s">
        <v>28</v>
      </c>
      <c r="N5" s="14"/>
      <c r="O5" s="14"/>
      <c r="P5" s="23" t="s">
        <v>29</v>
      </c>
    </row>
    <row r="6" spans="1:16" ht="28.5" customHeight="1" outlineLevel="1" thickBot="1" ns3:dyDescent="0.4">
      <c r="B6" s="9" t="s">
        <v>30</v>
      </c>
      <c r="C6" s="20" t="s">
        <v>22</v>
      </c>
      <c r="D6" s="2">
        <v>2</v>
      </c>
      <c r="E6" s="21" t="s">
        <v>31</v>
      </c>
      <c r="F6" s="22" t="s">
        <v>32</v>
      </c>
      <c r="G6" s="5" t="s">
        <v>25</v>
      </c>
      <c r="H6" s="14"/>
      <c r="I6" s="6" t="s">
        <v>26</v>
      </c>
      <c r="J6" s="14"/>
      <c r="L6" t="s">
        <v>27</v>
      </c>
      <c r="M6" t="s">
        <v>33</v>
      </c>
      <c r="N6" s="14"/>
      <c r="O6" s="14"/>
      <c r="P6" s="23" t="s">
        <v>29</v>
      </c>
    </row>
    <row r="7" spans="1:16" ht="28.5" customHeight="1" outlineLevel="1" thickBot="1" ns3:dyDescent="0.4">
      <c r="B7" s="9" t="s">
        <v>34</v>
      </c>
      <c r="C7" s="20" t="s">
        <v>22</v>
      </c>
      <c r="D7" s="2">
        <v>3</v>
      </c>
      <c r="E7" s="21" t="s">
        <v>35</v>
      </c>
      <c r="F7" s="22" t="s">
        <v>36</v>
      </c>
      <c r="G7" s="5" t="s">
        <v>25</v>
      </c>
      <c r="H7" s="14"/>
      <c r="I7" s="6" t="s">
        <v>26</v>
      </c>
      <c r="J7" s="14"/>
      <c r="L7" t="s">
        <v>27</v>
      </c>
      <c r="M7" t="s">
        <v>37</v>
      </c>
      <c r="N7" s="14"/>
      <c r="O7" s="14"/>
      <c r="P7" s="23" t="s">
        <v>29</v>
      </c>
    </row>
    <row r="8" spans="1:16" ht="28.5" customHeight="1" outlineLevel="1" thickBot="1" ns3:dyDescent="0.4">
      <c r="B8" s="9" t="s">
        <v>38</v>
      </c>
      <c r="C8" s="20" t="s">
        <v>22</v>
      </c>
      <c r="D8" s="2">
        <v>4</v>
      </c>
      <c r="E8" s="21" t="s">
        <v>39</v>
      </c>
      <c r="F8" s="22" t="s">
        <v>40</v>
      </c>
      <c r="G8" s="5" t="s">
        <v>25</v>
      </c>
      <c r="H8" s="14"/>
      <c r="I8" s="6" t="s">
        <v>26</v>
      </c>
      <c r="J8" s="14"/>
      <c r="L8" t="s">
        <v>27</v>
      </c>
      <c r="M8" t="s">
        <v>41</v>
      </c>
      <c r="N8" s="14"/>
      <c r="O8" s="14"/>
      <c r="P8" s="23" t="s">
        <v>29</v>
      </c>
    </row>
    <row r="9" spans="1:16" ht="28.5" customHeight="1" outlineLevel="1" thickBot="1" ns3:dyDescent="0.4">
      <c r="B9" s="9" t="s">
        <v>42</v>
      </c>
      <c r="C9" s="20" t="s">
        <v>22</v>
      </c>
      <c r="D9" s="2">
        <v>5</v>
      </c>
      <c r="E9" s="21" t="s">
        <v>43</v>
      </c>
      <c r="F9" s="22" t="s">
        <v>44</v>
      </c>
      <c r="G9" s="5" t="s">
        <v>25</v>
      </c>
      <c r="H9" s="14"/>
      <c r="I9" s="6" t="s">
        <v>26</v>
      </c>
      <c r="J9" s="14"/>
      <c r="L9" t="s">
        <v>27</v>
      </c>
      <c r="M9" t="s">
        <v>45</v>
      </c>
      <c r="N9" s="14"/>
      <c r="O9" s="14"/>
      <c r="P9" s="23" t="s">
        <v>29</v>
      </c>
    </row>
    <row r="10" spans="1:16" ht="42.5" customHeight="1" outlineLevel="1" thickBot="1" ns3:dyDescent="0.4">
      <c r="B10" s="9" t="s">
        <v>46</v>
      </c>
      <c r="C10" s="20" t="s">
        <v>47</v>
      </c>
      <c r="D10" s="2">
        <v>1</v>
      </c>
      <c r="E10" s="21" t="s">
        <v>48</v>
      </c>
      <c r="F10" s="22" t="s">
        <v>49</v>
      </c>
      <c r="G10" s="5" t="s">
        <v>25</v>
      </c>
      <c r="H10" s="14"/>
      <c r="I10" s="6" t="s">
        <v>26</v>
      </c>
      <c r="J10" s="14"/>
      <c r="L10" t="s">
        <v>27</v>
      </c>
      <c r="M10" t="s">
        <v>50</v>
      </c>
      <c r="N10" s="14"/>
      <c r="O10" s="14"/>
      <c r="P10" s="23" t="s">
        <v>29</v>
      </c>
    </row>
    <row r="11" spans="1:16" ht="42.5" customHeight="1" outlineLevel="1" thickBot="1" ns3:dyDescent="0.4">
      <c r="B11" s="9" t="s">
        <v>51</v>
      </c>
      <c r="C11" s="20" t="s">
        <v>47</v>
      </c>
      <c r="D11" s="2">
        <v>2</v>
      </c>
      <c r="E11" s="21" t="s">
        <v>52</v>
      </c>
      <c r="F11" s="22" t="s">
        <v>53</v>
      </c>
      <c r="G11" s="5" t="s">
        <v>25</v>
      </c>
      <c r="H11" s="14"/>
      <c r="I11" s="6" t="s">
        <v>26</v>
      </c>
      <c r="J11" s="14"/>
      <c r="L11" t="s">
        <v>27</v>
      </c>
      <c r="M11" t="s">
        <v>54</v>
      </c>
      <c r="N11" s="14"/>
      <c r="O11" s="14"/>
      <c r="P11" s="23" t="s">
        <v>29</v>
      </c>
    </row>
    <row r="12" spans="1:16" ht="42.5" customHeight="1" outlineLevel="1" thickBot="1" ns3:dyDescent="0.4">
      <c r="B12" s="9" t="s">
        <v>55</v>
      </c>
      <c r="C12" s="20" t="s">
        <v>56</v>
      </c>
      <c r="D12" s="2">
        <v>3</v>
      </c>
      <c r="E12" s="21" t="s">
        <v>57</v>
      </c>
      <c r="F12" s="22" t="s">
        <v>58</v>
      </c>
      <c r="G12" s="5" t="s">
        <v>25</v>
      </c>
      <c r="H12" s="14"/>
      <c r="I12" s="6" t="s">
        <v>26</v>
      </c>
      <c r="J12" s="14"/>
      <c r="L12" t="s">
        <v>27</v>
      </c>
      <c r="M12" t="s">
        <v>59</v>
      </c>
      <c r="N12" s="14"/>
      <c r="O12" s="14"/>
      <c r="P12" s="23" t="s">
        <v>29</v>
      </c>
    </row>
    <row r="13" spans="1:16" outlineLevel="1" ns3:dyDescent="0.35">
      <c r="E13" s="14"/>
      <c r="F13" s="14"/>
      <c r="H13" s="14"/>
      <c r="J13" s="14"/>
      <c r="N13" s="14"/>
      <c r="O13" s="14"/>
    </row>
    <row r="14" spans="1:16" ns3:dyDescent="0.35">
      <c r="E14" s="14"/>
      <c r="F14" s="14"/>
      <c r="H14" s="14"/>
      <c r="J14" s="14"/>
      <c r="N14" s="14"/>
      <c r="O14" s="14"/>
    </row>
    <row r="15" spans="1:16" ht="18.5" customHeight="1" ns3:dyDescent="0.45">
      <c r="A15" s="19" t="s">
        <v>60</v>
      </c>
      <c r="B15" s="3"/>
      <c r="C15" s="3"/>
      <c r="D15" s="3"/>
      <c r="E15" s="16"/>
      <c r="F15" s="16"/>
      <c r="G15" s="3"/>
      <c r="H15" s="16"/>
      <c r="I15" s="3"/>
      <c r="J15" s="16"/>
      <c r="K15" s="3"/>
      <c r="N15" s="14"/>
      <c r="O15" s="14"/>
    </row>
    <row r="16" spans="1:16" ht="29" ns3:dyDescent="0.35">
      <c r="B16" s="10" t="s">
        <v>61</v>
      </c>
      <c r="C16" s="24" t="s">
        <v>62</v>
      </c>
      <c r="D16">
        <v>1</v>
      </c>
      <c r="E16" s="25" t="s">
        <v>63</v>
      </c>
      <c r="F16" s="26" t="s">
        <v>64</v>
      </c>
      <c r="G16" s="5" t="s">
        <v>25</v>
      </c>
      <c r="H16" s="14"/>
      <c r="I16" s="6" t="s">
        <v>26</v>
      </c>
      <c r="J16" s="14"/>
      <c r="L16" t="s">
        <v>27</v>
      </c>
      <c r="M16" t="s">
        <v>65</v>
      </c>
      <c r="N16" s="14"/>
      <c r="O16" s="14"/>
      <c r="P16" s="27" t="s">
        <v>66</v>
      </c>
    </row>
    <row r="17" spans="2:16" ht="29" ns3:dyDescent="0.35">
      <c r="B17" s="10" t="s">
        <v>67</v>
      </c>
      <c r="C17" s="24" t="s">
        <v>62</v>
      </c>
      <c r="D17">
        <v>2</v>
      </c>
      <c r="E17" s="25" t="s">
        <v>68</v>
      </c>
      <c r="F17" s="26" t="s">
        <v>69</v>
      </c>
      <c r="G17" s="5" t="s">
        <v>25</v>
      </c>
      <c r="H17" s="14"/>
      <c r="I17" s="6" t="s">
        <v>26</v>
      </c>
      <c r="J17" s="14"/>
      <c r="L17" t="s">
        <v>27</v>
      </c>
      <c r="M17" t="s">
        <v>70</v>
      </c>
      <c r="N17" s="14"/>
      <c r="O17" s="14"/>
      <c r="P17" s="27" t="s">
        <v>66</v>
      </c>
    </row>
    <row r="18" spans="2:16" ht="29" ns3:dyDescent="0.35">
      <c r="B18" s="10" t="s">
        <v>71</v>
      </c>
      <c r="C18" s="24" t="s">
        <v>72</v>
      </c>
      <c r="D18">
        <v>1</v>
      </c>
      <c r="E18" s="25" t="s">
        <v>73</v>
      </c>
      <c r="F18" s="26" t="s">
        <v>74</v>
      </c>
      <c r="G18" s="5" t="s">
        <v>25</v>
      </c>
      <c r="H18" s="14"/>
      <c r="I18" s="6" t="s">
        <v>26</v>
      </c>
      <c r="J18" s="14"/>
      <c r="L18" t="s">
        <v>27</v>
      </c>
      <c r="M18" t="s">
        <v>75</v>
      </c>
      <c r="N18" s="14"/>
      <c r="O18" s="14"/>
      <c r="P18" s="27" t="s">
        <v>66</v>
      </c>
    </row>
    <row r="19" spans="2:16" ht="29" ns3:dyDescent="0.35">
      <c r="B19" s="10" t="s">
        <v>76</v>
      </c>
      <c r="C19" s="24" t="s">
        <v>72</v>
      </c>
      <c r="D19">
        <v>2</v>
      </c>
      <c r="E19" s="25" t="s">
        <v>77</v>
      </c>
      <c r="F19" s="26" t="s">
        <v>78</v>
      </c>
      <c r="G19" s="5" t="s">
        <v>25</v>
      </c>
      <c r="H19" s="14"/>
      <c r="I19" s="6" t="s">
        <v>26</v>
      </c>
      <c r="J19" s="14"/>
      <c r="L19" t="s">
        <v>27</v>
      </c>
      <c r="M19" t="s">
        <v>79</v>
      </c>
      <c r="N19" s="14"/>
      <c r="O19" s="14"/>
      <c r="P19" s="27" t="s">
        <v>66</v>
      </c>
    </row>
    <row r="20" spans="2:16" ht="29" ns3:dyDescent="0.35">
      <c r="B20" s="10" t="s">
        <v>80</v>
      </c>
      <c r="C20" s="24" t="s">
        <v>81</v>
      </c>
      <c r="D20">
        <v>1</v>
      </c>
      <c r="E20" s="25" t="s">
        <v>82</v>
      </c>
      <c r="F20" s="26" t="s">
        <v>83</v>
      </c>
      <c r="G20" s="5" t="s">
        <v>25</v>
      </c>
      <c r="H20" s="14"/>
      <c r="I20" s="6" t="s">
        <v>26</v>
      </c>
      <c r="J20" s="14"/>
      <c r="L20" t="s">
        <v>27</v>
      </c>
      <c r="M20" t="s">
        <v>84</v>
      </c>
      <c r="N20" s="14"/>
      <c r="O20" s="14"/>
      <c r="P20" s="27" t="s">
        <v>66</v>
      </c>
    </row>
    <row r="21" spans="2:16" ht="29" ns3:dyDescent="0.35">
      <c r="B21" s="10" t="s">
        <v>85</v>
      </c>
      <c r="C21" s="24" t="s">
        <v>81</v>
      </c>
      <c r="D21">
        <v>2</v>
      </c>
      <c r="E21" s="25" t="s">
        <v>86</v>
      </c>
      <c r="F21" s="26" t="s">
        <v>87</v>
      </c>
      <c r="G21" s="5" t="s">
        <v>25</v>
      </c>
      <c r="H21" s="14"/>
      <c r="I21" s="6" t="s">
        <v>26</v>
      </c>
      <c r="J21" s="14"/>
      <c r="L21" t="s">
        <v>27</v>
      </c>
      <c r="M21" t="s">
        <v>88</v>
      </c>
      <c r="N21" s="14"/>
      <c r="O21" s="14"/>
      <c r="P21" s="27" t="s">
        <v>66</v>
      </c>
    </row>
    <row r="22" spans="2:16" ht="29" ns3:dyDescent="0.35">
      <c r="B22" s="10" t="s">
        <v>89</v>
      </c>
      <c r="C22" s="24" t="s">
        <v>81</v>
      </c>
      <c r="D22">
        <v>1</v>
      </c>
      <c r="E22" s="25" t="s">
        <v>90</v>
      </c>
      <c r="F22" s="26" t="s">
        <v>91</v>
      </c>
      <c r="G22" s="5" t="s">
        <v>25</v>
      </c>
      <c r="H22" s="14"/>
      <c r="I22" s="6" t="s">
        <v>26</v>
      </c>
      <c r="J22" s="14"/>
      <c r="L22" t="s">
        <v>27</v>
      </c>
      <c r="M22" t="s">
        <v>92</v>
      </c>
      <c r="N22" s="14"/>
      <c r="O22" s="14"/>
      <c r="P22" s="27" t="s">
        <v>66</v>
      </c>
    </row>
    <row r="23" spans="2:16" ht="29" ns3:dyDescent="0.35">
      <c r="B23" s="10" t="s">
        <v>93</v>
      </c>
      <c r="C23" s="24" t="s">
        <v>81</v>
      </c>
      <c r="D23">
        <v>2</v>
      </c>
      <c r="E23" s="25" t="s">
        <v>94</v>
      </c>
      <c r="F23" s="26" t="s">
        <v>95</v>
      </c>
      <c r="G23" s="5" t="s">
        <v>25</v>
      </c>
      <c r="H23" s="14"/>
      <c r="I23" s="6" t="s">
        <v>26</v>
      </c>
      <c r="J23" s="14"/>
      <c r="L23" t="s">
        <v>27</v>
      </c>
      <c r="M23" t="s">
        <v>96</v>
      </c>
      <c r="N23" s="14"/>
      <c r="O23" s="14"/>
      <c r="P23" s="27" t="s">
        <v>66</v>
      </c>
    </row>
    <row r="24" spans="2:16" ht="29" ns3:dyDescent="0.35">
      <c r="B24" s="10" t="s">
        <v>97</v>
      </c>
      <c r="C24" s="24" t="s">
        <v>81</v>
      </c>
      <c r="D24">
        <v>1</v>
      </c>
      <c r="E24" s="25" t="s">
        <v>98</v>
      </c>
      <c r="F24" s="26" t="s">
        <v>99</v>
      </c>
      <c r="G24" s="5" t="s">
        <v>25</v>
      </c>
      <c r="H24" s="14"/>
      <c r="I24" s="6" t="s">
        <v>26</v>
      </c>
      <c r="J24" s="14"/>
      <c r="L24" t="s">
        <v>27</v>
      </c>
      <c r="M24" t="s">
        <v>100</v>
      </c>
      <c r="N24" s="14"/>
      <c r="O24" s="14"/>
      <c r="P24" s="27" t="s">
        <v>66</v>
      </c>
    </row>
    <row r="25" spans="2:16" ht="29" ns3:dyDescent="0.35">
      <c r="B25" s="10" t="s">
        <v>101</v>
      </c>
      <c r="C25" s="24" t="s">
        <v>102</v>
      </c>
      <c r="D25">
        <v>1</v>
      </c>
      <c r="E25" s="25" t="s">
        <v>103</v>
      </c>
      <c r="F25" s="26" t="s">
        <v>104</v>
      </c>
      <c r="G25" s="5" t="s">
        <v>25</v>
      </c>
      <c r="H25" s="14"/>
      <c r="I25" s="6" t="s">
        <v>26</v>
      </c>
      <c r="J25" s="14"/>
      <c r="L25" t="s">
        <v>27</v>
      </c>
      <c r="M25" t="s">
        <v>105</v>
      </c>
      <c r="N25" s="14"/>
      <c r="O25" s="14"/>
      <c r="P25" s="27" t="s">
        <v>66</v>
      </c>
    </row>
    <row r="26" spans="2:16" ht="29" ns3:dyDescent="0.35">
      <c r="B26" s="10" t="s">
        <v>106</v>
      </c>
      <c r="C26" s="24" t="s">
        <v>107</v>
      </c>
      <c r="D26">
        <v>1</v>
      </c>
      <c r="E26" s="25" t="s">
        <v>108</v>
      </c>
      <c r="F26" s="26" t="s">
        <v>109</v>
      </c>
      <c r="G26" s="5" t="s">
        <v>25</v>
      </c>
      <c r="H26" s="14"/>
      <c r="I26" s="6" t="s">
        <v>26</v>
      </c>
      <c r="J26" s="14"/>
      <c r="L26" t="s">
        <v>27</v>
      </c>
      <c r="M26" t="s">
        <v>110</v>
      </c>
      <c r="N26" s="14"/>
      <c r="O26" s="14"/>
      <c r="P26" s="27" t="s">
        <v>66</v>
      </c>
    </row>
    <row r="27" spans="2:16" ht="29" ns3:dyDescent="0.35">
      <c r="B27" s="10" t="s">
        <v>111</v>
      </c>
      <c r="C27" s="24" t="s">
        <v>107</v>
      </c>
      <c r="D27">
        <v>2</v>
      </c>
      <c r="E27" s="25" t="s">
        <v>112</v>
      </c>
      <c r="F27" s="26" t="s">
        <v>113</v>
      </c>
      <c r="G27" s="5" t="s">
        <v>25</v>
      </c>
      <c r="H27" s="14"/>
      <c r="I27" s="6" t="s">
        <v>26</v>
      </c>
      <c r="J27" s="14"/>
      <c r="L27" t="s">
        <v>27</v>
      </c>
      <c r="M27" t="s">
        <v>114</v>
      </c>
      <c r="N27" s="14"/>
      <c r="O27" s="14"/>
      <c r="P27" s="27" t="s">
        <v>66</v>
      </c>
    </row>
    <row r="28" spans="2:16" ht="29" ns3:dyDescent="0.35">
      <c r="B28" s="10" t="s">
        <v>115</v>
      </c>
      <c r="C28" s="24" t="s">
        <v>107</v>
      </c>
      <c r="D28">
        <v>1</v>
      </c>
      <c r="E28" s="25" t="s">
        <v>116</v>
      </c>
      <c r="F28" s="26" t="s">
        <v>117</v>
      </c>
      <c r="G28" s="5" t="s">
        <v>25</v>
      </c>
      <c r="H28" s="14"/>
      <c r="I28" s="6" t="s">
        <v>26</v>
      </c>
      <c r="J28" s="14"/>
      <c r="L28" t="s">
        <v>27</v>
      </c>
      <c r="M28" t="s">
        <v>118</v>
      </c>
      <c r="N28" s="14"/>
      <c r="O28" s="14"/>
      <c r="P28" s="27" t="s">
        <v>66</v>
      </c>
    </row>
    <row r="29" spans="2:16" ht="29" ns3:dyDescent="0.35">
      <c r="B29" s="10" t="s">
        <v>119</v>
      </c>
      <c r="C29" s="24" t="s">
        <v>107</v>
      </c>
      <c r="D29">
        <v>2</v>
      </c>
      <c r="E29" s="25" t="s">
        <v>120</v>
      </c>
      <c r="F29" s="26" t="s">
        <v>121</v>
      </c>
      <c r="G29" s="5" t="s">
        <v>25</v>
      </c>
      <c r="H29" s="14"/>
      <c r="I29" s="6" t="s">
        <v>26</v>
      </c>
      <c r="J29" s="14"/>
      <c r="L29" t="s">
        <v>27</v>
      </c>
      <c r="M29" t="s">
        <v>122</v>
      </c>
      <c r="N29" s="14"/>
      <c r="O29" s="14"/>
      <c r="P29" s="27" t="s">
        <v>66</v>
      </c>
    </row>
    <row r="30" spans="2:16" ht="29" ns3:dyDescent="0.35">
      <c r="B30" s="10" t="s">
        <v>123</v>
      </c>
      <c r="C30" s="24" t="s">
        <v>107</v>
      </c>
      <c r="D30">
        <v>3</v>
      </c>
      <c r="E30" s="25" t="s">
        <v>124</v>
      </c>
      <c r="F30" s="26" t="s">
        <v>125</v>
      </c>
      <c r="G30" s="5" t="s">
        <v>25</v>
      </c>
      <c r="H30" s="14"/>
      <c r="I30" s="6" t="s">
        <v>26</v>
      </c>
      <c r="J30" s="14"/>
      <c r="L30" t="s">
        <v>27</v>
      </c>
      <c r="M30" t="s">
        <v>126</v>
      </c>
      <c r="N30" s="14"/>
      <c r="O30" s="14"/>
      <c r="P30" s="27" t="s">
        <v>66</v>
      </c>
    </row>
    <row r="31" spans="2:16" ht="29" ns3:dyDescent="0.35">
      <c r="B31" s="10" t="s">
        <v>127</v>
      </c>
      <c r="C31" s="24" t="s">
        <v>107</v>
      </c>
      <c r="D31">
        <v>4</v>
      </c>
      <c r="E31" s="25" t="s">
        <v>128</v>
      </c>
      <c r="F31" s="26" t="s">
        <v>129</v>
      </c>
      <c r="G31" s="5" t="s">
        <v>25</v>
      </c>
      <c r="H31" s="14"/>
      <c r="I31" s="6" t="s">
        <v>26</v>
      </c>
      <c r="J31" s="14"/>
      <c r="L31" t="s">
        <v>27</v>
      </c>
      <c r="M31" t="s">
        <v>130</v>
      </c>
      <c r="N31" s="14"/>
      <c r="O31" s="14"/>
      <c r="P31" s="27" t="s">
        <v>66</v>
      </c>
    </row>
    <row r="32" spans="2:16" ht="29" ns3:dyDescent="0.35">
      <c r="B32" s="10" t="s">
        <v>131</v>
      </c>
      <c r="C32" s="24" t="s">
        <v>107</v>
      </c>
      <c r="D32">
        <v>5</v>
      </c>
      <c r="E32" s="25" t="s">
        <v>132</v>
      </c>
      <c r="F32" s="26" t="s">
        <v>133</v>
      </c>
      <c r="G32" s="5" t="s">
        <v>25</v>
      </c>
      <c r="H32" s="14"/>
      <c r="I32" s="6" t="s">
        <v>26</v>
      </c>
      <c r="J32" s="14"/>
      <c r="L32" t="s">
        <v>27</v>
      </c>
      <c r="M32" t="s">
        <v>134</v>
      </c>
      <c r="N32" s="14"/>
      <c r="O32" s="14"/>
      <c r="P32" s="27" t="s">
        <v>66</v>
      </c>
    </row>
    <row r="33" spans="1:16" ns3:dyDescent="0.35">
      <c r="E33" s="14"/>
      <c r="F33" s="14"/>
      <c r="H33" s="14"/>
      <c r="J33" s="14"/>
      <c r="N33" s="14"/>
      <c r="O33" s="14"/>
    </row>
    <row r="34" spans="1:16" ns3:dyDescent="0.35">
      <c r="E34" s="14"/>
      <c r="F34" s="14"/>
      <c r="H34" s="14"/>
      <c r="J34" s="14"/>
      <c r="N34" s="14"/>
      <c r="O34" s="14"/>
    </row>
    <row r="35" spans="1:16" ht="18.5" customHeight="1" ns3:dyDescent="0.45">
      <c r="A35" s="19" t="s">
        <v>135</v>
      </c>
      <c r="B35" s="3"/>
      <c r="C35" s="3"/>
      <c r="D35" s="3"/>
      <c r="E35" s="16"/>
      <c r="F35" s="16"/>
      <c r="G35" s="3"/>
      <c r="H35" s="16"/>
      <c r="I35" s="3"/>
      <c r="J35" s="16"/>
      <c r="K35" s="3"/>
      <c r="N35" s="14"/>
      <c r="O35" s="14"/>
    </row>
    <row r="36" spans="1:16" ht="29" ns3:dyDescent="0.35">
      <c r="B36" s="10" t="s">
        <v>136</v>
      </c>
      <c r="C36" s="24" t="s">
        <v>137</v>
      </c>
      <c r="D36">
        <v>1</v>
      </c>
      <c r="E36" s="25" t="s">
        <v>138</v>
      </c>
      <c r="F36" s="26" t="s">
        <v>139</v>
      </c>
      <c r="G36" s="5" t="s">
        <v>25</v>
      </c>
      <c r="H36" s="14"/>
      <c r="I36" s="6" t="s">
        <v>26</v>
      </c>
      <c r="J36" s="14"/>
      <c r="L36" t="s">
        <v>27</v>
      </c>
      <c r="M36" t="s">
        <v>140</v>
      </c>
      <c r="N36" s="14"/>
      <c r="O36" s="14"/>
      <c r="P36" s="27" t="s">
        <v>66</v>
      </c>
    </row>
    <row r="37" spans="1:16" ht="29" ns3:dyDescent="0.35">
      <c r="B37" s="10" t="s">
        <v>141</v>
      </c>
      <c r="C37" s="24" t="s">
        <v>137</v>
      </c>
      <c r="D37">
        <v>1</v>
      </c>
      <c r="E37" s="25" t="s">
        <v>142</v>
      </c>
      <c r="F37" s="26" t="s">
        <v>143</v>
      </c>
      <c r="G37" s="5" t="s">
        <v>25</v>
      </c>
      <c r="H37" s="14"/>
      <c r="I37" s="6" t="s">
        <v>26</v>
      </c>
      <c r="J37" s="14"/>
      <c r="L37" t="s">
        <v>27</v>
      </c>
      <c r="M37" t="s">
        <v>144</v>
      </c>
      <c r="N37" s="14"/>
      <c r="O37" s="14"/>
      <c r="P37" s="27" t="s">
        <v>66</v>
      </c>
    </row>
    <row r="38" spans="1:16" ht="29" ns3:dyDescent="0.35">
      <c r="B38" s="10" t="s">
        <v>145</v>
      </c>
      <c r="C38" s="24" t="s">
        <v>146</v>
      </c>
      <c r="D38">
        <v>1</v>
      </c>
      <c r="E38" s="25" t="s">
        <v>147</v>
      </c>
      <c r="F38" s="26" t="s">
        <v>148</v>
      </c>
      <c r="G38" s="5" t="s">
        <v>25</v>
      </c>
      <c r="H38" s="14"/>
      <c r="I38" s="6" t="s">
        <v>26</v>
      </c>
      <c r="J38" s="14"/>
      <c r="L38" t="s">
        <v>27</v>
      </c>
      <c r="M38" t="s">
        <v>149</v>
      </c>
      <c r="N38" s="14"/>
      <c r="O38" s="14"/>
      <c r="P38" s="27" t="s">
        <v>66</v>
      </c>
    </row>
    <row r="39" spans="1:16" ht="29" ns3:dyDescent="0.35">
      <c r="B39" s="10" t="s">
        <v>150</v>
      </c>
      <c r="C39" s="24" t="s">
        <v>146</v>
      </c>
      <c r="D39">
        <v>1</v>
      </c>
      <c r="E39" s="25" t="s">
        <v>151</v>
      </c>
      <c r="F39" s="26" t="s">
        <v>152</v>
      </c>
      <c r="G39" s="5" t="s">
        <v>25</v>
      </c>
      <c r="H39" s="14"/>
      <c r="I39" s="6" t="s">
        <v>26</v>
      </c>
      <c r="J39" s="14"/>
      <c r="L39" t="s">
        <v>27</v>
      </c>
      <c r="M39" t="s">
        <v>153</v>
      </c>
      <c r="N39" s="14"/>
      <c r="O39" s="14"/>
      <c r="P39" s="27" t="s">
        <v>66</v>
      </c>
    </row>
    <row r="40" spans="1:16" ht="29" ns3:dyDescent="0.35">
      <c r="B40" s="10" t="s">
        <v>154</v>
      </c>
      <c r="C40" s="24" t="s">
        <v>155</v>
      </c>
      <c r="D40">
        <v>1</v>
      </c>
      <c r="E40" s="25" t="s">
        <v>156</v>
      </c>
      <c r="F40" s="26" t="s">
        <v>157</v>
      </c>
      <c r="G40" s="5" t="s">
        <v>25</v>
      </c>
      <c r="H40" s="14"/>
      <c r="I40" s="6" t="s">
        <v>26</v>
      </c>
      <c r="J40" s="14"/>
      <c r="L40" t="s">
        <v>27</v>
      </c>
      <c r="M40" t="s">
        <v>158</v>
      </c>
      <c r="N40" s="14"/>
      <c r="O40" s="14"/>
      <c r="P40" s="27" t="s">
        <v>66</v>
      </c>
    </row>
    <row r="41" spans="1:16" ht="29" ns3:dyDescent="0.35">
      <c r="B41" s="10" t="s">
        <v>159</v>
      </c>
      <c r="C41" s="24" t="s">
        <v>155</v>
      </c>
      <c r="D41">
        <v>1</v>
      </c>
      <c r="E41" s="25" t="s">
        <v>160</v>
      </c>
      <c r="F41" s="26" t="s">
        <v>161</v>
      </c>
      <c r="G41" s="5" t="s">
        <v>25</v>
      </c>
      <c r="H41" s="14"/>
      <c r="I41" s="6" t="s">
        <v>26</v>
      </c>
      <c r="J41" s="14"/>
      <c r="L41" t="s">
        <v>27</v>
      </c>
      <c r="M41" t="s">
        <v>162</v>
      </c>
      <c r="N41" s="14"/>
      <c r="O41" s="14"/>
      <c r="P41" s="27" t="s">
        <v>66</v>
      </c>
    </row>
    <row r="42" spans="1:16" ht="29" ns3:dyDescent="0.35">
      <c r="B42" s="10" t="s">
        <v>163</v>
      </c>
      <c r="C42" s="24" t="s">
        <v>155</v>
      </c>
      <c r="D42">
        <v>1</v>
      </c>
      <c r="E42" s="25" t="s">
        <v>164</v>
      </c>
      <c r="F42" s="26" t="s">
        <v>165</v>
      </c>
      <c r="G42" s="5" t="s">
        <v>25</v>
      </c>
      <c r="H42" s="14"/>
      <c r="I42" s="6" t="s">
        <v>26</v>
      </c>
      <c r="J42" s="14"/>
      <c r="L42" t="s">
        <v>27</v>
      </c>
      <c r="M42" t="s">
        <v>166</v>
      </c>
      <c r="N42" s="14"/>
      <c r="O42" s="14"/>
      <c r="P42" s="27" t="s">
        <v>66</v>
      </c>
    </row>
    <row r="43" spans="1:16" ht="29" ns3:dyDescent="0.35">
      <c r="B43" s="10" t="s">
        <v>167</v>
      </c>
      <c r="C43" s="24" t="s">
        <v>155</v>
      </c>
      <c r="D43">
        <v>1</v>
      </c>
      <c r="E43" s="25" t="s">
        <v>168</v>
      </c>
      <c r="F43" s="26" t="s">
        <v>169</v>
      </c>
      <c r="G43" s="5" t="s">
        <v>25</v>
      </c>
      <c r="H43" s="14"/>
      <c r="I43" s="6" t="s">
        <v>26</v>
      </c>
      <c r="J43" s="14"/>
      <c r="L43" t="s">
        <v>27</v>
      </c>
      <c r="M43" t="s">
        <v>170</v>
      </c>
      <c r="N43" s="14"/>
      <c r="O43" s="14"/>
      <c r="P43" s="27" t="s">
        <v>66</v>
      </c>
    </row>
    <row r="44" spans="1:16" ns3:dyDescent="0.35">
      <c r="B44" s="10" t="s">
        <v>171</v>
      </c>
      <c r="C44" s="24" t="s">
        <v>155</v>
      </c>
      <c r="D44">
        <v>1</v>
      </c>
      <c r="E44" s="25" t="s">
        <v>172</v>
      </c>
      <c r="F44" s="26" t="s">
        <v>173</v>
      </c>
      <c r="G44" s="5" t="s">
        <v>25</v>
      </c>
      <c r="H44" s="14"/>
      <c r="I44" s="6" t="s">
        <v>26</v>
      </c>
      <c r="J44" s="14"/>
      <c r="L44" t="s">
        <v>27</v>
      </c>
      <c r="M44" t="s">
        <v>174</v>
      </c>
      <c r="N44" s="14"/>
      <c r="O44" s="14"/>
      <c r="P44" s="23" t="s">
        <v>29</v>
      </c>
    </row>
    <row r="45" spans="1:16" ns3:dyDescent="0.35">
      <c r="B45" s="10" t="s">
        <v>175</v>
      </c>
      <c r="C45" s="24" t="s">
        <v>155</v>
      </c>
      <c r="D45">
        <v>2</v>
      </c>
      <c r="E45" s="25" t="s">
        <v>176</v>
      </c>
      <c r="F45" s="26" t="s">
        <v>177</v>
      </c>
      <c r="G45" s="5" t="s">
        <v>25</v>
      </c>
      <c r="H45" s="14"/>
      <c r="I45" s="6" t="s">
        <v>26</v>
      </c>
      <c r="J45" s="14"/>
      <c r="L45" t="s">
        <v>27</v>
      </c>
      <c r="M45" t="s">
        <v>178</v>
      </c>
      <c r="N45" s="14"/>
      <c r="O45" s="14"/>
      <c r="P45" s="23" t="s">
        <v>29</v>
      </c>
    </row>
    <row r="46" spans="1:16" ht="29" ns3:dyDescent="0.35">
      <c r="B46" s="10" t="s">
        <v>179</v>
      </c>
      <c r="C46" s="24" t="s">
        <v>180</v>
      </c>
      <c r="D46">
        <v>1</v>
      </c>
      <c r="E46" s="25" t="s">
        <v>181</v>
      </c>
      <c r="F46" s="26" t="s">
        <v>182</v>
      </c>
      <c r="G46" s="5" t="s">
        <v>25</v>
      </c>
      <c r="H46" s="14"/>
      <c r="I46" s="6" t="s">
        <v>26</v>
      </c>
      <c r="J46" s="14"/>
      <c r="L46" t="s">
        <v>27</v>
      </c>
      <c r="M46" t="s">
        <v>183</v>
      </c>
      <c r="N46" s="14"/>
      <c r="O46" s="14"/>
      <c r="P46" s="27" t="s">
        <v>66</v>
      </c>
    </row>
    <row r="47" spans="1:16" ht="29" ns3:dyDescent="0.35">
      <c r="B47" s="10" t="s">
        <v>184</v>
      </c>
      <c r="C47" s="24" t="s">
        <v>180</v>
      </c>
      <c r="D47">
        <v>1</v>
      </c>
      <c r="E47" s="25" t="s">
        <v>185</v>
      </c>
      <c r="F47" s="26" t="s">
        <v>186</v>
      </c>
      <c r="G47" s="5" t="s">
        <v>25</v>
      </c>
      <c r="H47" s="14"/>
      <c r="I47" s="6" t="s">
        <v>26</v>
      </c>
      <c r="J47" s="14"/>
      <c r="L47" t="s">
        <v>27</v>
      </c>
      <c r="M47" t="s">
        <v>187</v>
      </c>
      <c r="N47" s="14"/>
      <c r="O47" s="14"/>
      <c r="P47" s="27" t="s">
        <v>66</v>
      </c>
    </row>
    <row r="48" spans="1:16" ht="29" ns3:dyDescent="0.35">
      <c r="B48" s="10" t="s">
        <v>188</v>
      </c>
      <c r="C48" s="24" t="s">
        <v>180</v>
      </c>
      <c r="D48">
        <v>1</v>
      </c>
      <c r="E48" s="25" t="s">
        <v>189</v>
      </c>
      <c r="F48" s="26" t="s">
        <v>190</v>
      </c>
      <c r="G48" s="5" t="s">
        <v>25</v>
      </c>
      <c r="H48" s="14"/>
      <c r="I48" s="6" t="s">
        <v>26</v>
      </c>
      <c r="J48" s="14"/>
      <c r="L48" t="s">
        <v>27</v>
      </c>
      <c r="M48" t="s">
        <v>191</v>
      </c>
      <c r="N48" s="14"/>
      <c r="O48" s="14"/>
      <c r="P48" s="27" t="s">
        <v>66</v>
      </c>
    </row>
    <row r="49" spans="1:16" ht="29" ns3:dyDescent="0.35">
      <c r="B49" s="10" t="s">
        <v>192</v>
      </c>
      <c r="C49" s="24" t="s">
        <v>193</v>
      </c>
      <c r="D49">
        <v>1</v>
      </c>
      <c r="E49" s="25" t="s">
        <v>194</v>
      </c>
      <c r="F49" s="26" t="s">
        <v>195</v>
      </c>
      <c r="G49" s="5" t="s">
        <v>25</v>
      </c>
      <c r="H49" s="14"/>
      <c r="I49" s="6" t="s">
        <v>26</v>
      </c>
      <c r="J49" s="14"/>
      <c r="L49" t="s">
        <v>27</v>
      </c>
      <c r="M49" t="s">
        <v>196</v>
      </c>
      <c r="N49" s="14"/>
      <c r="O49" s="14"/>
      <c r="P49" s="27" t="s">
        <v>66</v>
      </c>
    </row>
    <row r="50" spans="1:16" ns3:dyDescent="0.35">
      <c r="E50" s="14"/>
      <c r="F50" s="14"/>
      <c r="H50" s="14"/>
      <c r="J50" s="14"/>
      <c r="N50" s="14"/>
      <c r="O50" s="14"/>
    </row>
    <row r="51" spans="1:16" ns3:dyDescent="0.35">
      <c r="E51" s="14"/>
      <c r="F51" s="14"/>
      <c r="H51" s="14"/>
      <c r="J51" s="14"/>
      <c r="N51" s="14"/>
      <c r="O51" s="14"/>
    </row>
    <row r="52" spans="1:16" ht="19" customHeight="1" thickBot="1" ns3:dyDescent="0.5">
      <c r="A52" s="19" t="s">
        <v>197</v>
      </c>
      <c r="B52" s="3"/>
      <c r="C52" s="3"/>
      <c r="D52" s="3"/>
      <c r="E52" s="16"/>
      <c r="F52" s="16"/>
      <c r="G52" s="3"/>
      <c r="H52" s="16"/>
      <c r="I52" s="3"/>
      <c r="J52" s="16"/>
      <c r="K52" s="3"/>
      <c r="N52" s="14"/>
      <c r="O52" s="14"/>
    </row>
    <row r="53" spans="1:16" ht="42.5" customHeight="1" thickBot="1" ns3:dyDescent="0.4">
      <c r="A53" s="1"/>
      <c r="B53" s="9" t="s">
        <v>198</v>
      </c>
      <c r="C53" s="20" t="s">
        <v>199</v>
      </c>
      <c r="D53" s="2">
        <v>1</v>
      </c>
      <c r="E53" s="21" t="s">
        <v>200</v>
      </c>
      <c r="F53" s="28" t="s">
        <v>201</v>
      </c>
      <c r="G53" s="5" t="s">
        <v>25</v>
      </c>
      <c r="H53" s="15"/>
      <c r="I53" s="6" t="s">
        <v>26</v>
      </c>
      <c r="J53" s="14"/>
      <c r="L53" t="s">
        <v>27</v>
      </c>
      <c r="M53" t="s">
        <v>202</v>
      </c>
      <c r="N53" s="14"/>
      <c r="O53" s="14"/>
      <c r="P53" s="23" t="s">
        <v>29</v>
      </c>
    </row>
    <row r="54" spans="1:16" ht="42.5" customHeight="1" thickBot="1" ns3:dyDescent="0.4">
      <c r="A54" s="1"/>
      <c r="B54" s="9" t="s">
        <v>203</v>
      </c>
      <c r="C54" s="20" t="s">
        <v>199</v>
      </c>
      <c r="D54" s="2">
        <v>1</v>
      </c>
      <c r="E54" s="21" t="s">
        <v>204</v>
      </c>
      <c r="F54" s="28" t="s">
        <v>205</v>
      </c>
      <c r="G54" s="5" t="s">
        <v>25</v>
      </c>
      <c r="H54" s="15"/>
      <c r="I54" s="6" t="s">
        <v>26</v>
      </c>
      <c r="J54" s="14"/>
      <c r="L54" t="s">
        <v>27</v>
      </c>
      <c r="M54" t="s">
        <v>206</v>
      </c>
      <c r="N54" s="14"/>
      <c r="O54" s="14"/>
      <c r="P54" s="27" t="s">
        <v>66</v>
      </c>
    </row>
    <row r="55" spans="1:16" ht="28.5" customHeight="1" thickBot="1" ns3:dyDescent="0.4">
      <c r="A55" s="1"/>
      <c r="B55" s="9" t="s">
        <v>207</v>
      </c>
      <c r="C55" s="20" t="s">
        <v>199</v>
      </c>
      <c r="D55" s="2">
        <v>2</v>
      </c>
      <c r="E55" s="21" t="s">
        <v>208</v>
      </c>
      <c r="F55" s="28" t="s">
        <v>209</v>
      </c>
      <c r="G55" s="5" t="s">
        <v>25</v>
      </c>
      <c r="H55" s="15"/>
      <c r="I55" s="6" t="s">
        <v>26</v>
      </c>
      <c r="J55" s="14"/>
      <c r="L55" t="s">
        <v>27</v>
      </c>
      <c r="M55" t="s">
        <v>210</v>
      </c>
      <c r="N55" s="14"/>
      <c r="O55" s="14"/>
      <c r="P55" s="27" t="s">
        <v>66</v>
      </c>
    </row>
    <row r="56" spans="1:16" ht="42.5" customHeight="1" thickBot="1" ns3:dyDescent="0.4">
      <c r="A56" s="1"/>
      <c r="B56" s="9" t="s">
        <v>211</v>
      </c>
      <c r="C56" s="20" t="s">
        <v>199</v>
      </c>
      <c r="D56" s="2">
        <v>1</v>
      </c>
      <c r="E56" s="21" t="s">
        <v>212</v>
      </c>
      <c r="F56" s="28" t="s">
        <v>213</v>
      </c>
      <c r="G56" s="5" t="s">
        <v>25</v>
      </c>
      <c r="H56" s="15"/>
      <c r="I56" s="6" t="s">
        <v>26</v>
      </c>
      <c r="J56" s="14"/>
      <c r="L56" t="s">
        <v>27</v>
      </c>
      <c r="M56" t="s">
        <v>214</v>
      </c>
      <c r="N56" s="14"/>
      <c r="O56" s="14"/>
      <c r="P56" s="27" t="s">
        <v>66</v>
      </c>
    </row>
    <row r="57" spans="1:16" ht="28.5" customHeight="1" thickBot="1" ns3:dyDescent="0.4">
      <c r="A57" s="1"/>
      <c r="B57" s="9" t="s">
        <v>215</v>
      </c>
      <c r="C57" s="20" t="s">
        <v>199</v>
      </c>
      <c r="D57" s="2">
        <v>1</v>
      </c>
      <c r="E57" s="21" t="s">
        <v>216</v>
      </c>
      <c r="F57" s="28" t="s">
        <v>217</v>
      </c>
      <c r="G57" s="5" t="s">
        <v>25</v>
      </c>
      <c r="H57" s="15"/>
      <c r="I57" s="6" t="s">
        <v>26</v>
      </c>
      <c r="J57" s="14"/>
      <c r="L57" t="s">
        <v>27</v>
      </c>
      <c r="M57" t="s">
        <v>218</v>
      </c>
      <c r="N57" s="14"/>
      <c r="O57" s="14"/>
      <c r="P57" s="27" t="s">
        <v>66</v>
      </c>
    </row>
    <row r="58" spans="1:16" ht="42.5" customHeight="1" thickBot="1" ns3:dyDescent="0.4">
      <c r="A58" s="1"/>
      <c r="B58" s="9" t="s">
        <v>219</v>
      </c>
      <c r="C58" s="20" t="s">
        <v>199</v>
      </c>
      <c r="D58" s="2">
        <v>1</v>
      </c>
      <c r="E58" s="21" t="s">
        <v>220</v>
      </c>
      <c r="F58" s="28" t="s">
        <v>221</v>
      </c>
      <c r="G58" s="5" t="s">
        <v>25</v>
      </c>
      <c r="H58" s="15"/>
      <c r="I58" s="6" t="s">
        <v>26</v>
      </c>
      <c r="J58" s="14"/>
      <c r="L58" t="s">
        <v>27</v>
      </c>
      <c r="M58" t="s">
        <v>222</v>
      </c>
      <c r="N58" s="14"/>
      <c r="O58" s="14"/>
      <c r="P58" s="27" t="s">
        <v>66</v>
      </c>
    </row>
    <row r="59" spans="1:16" ht="42.5" customHeight="1" thickBot="1" ns3:dyDescent="0.4">
      <c r="A59" s="1"/>
      <c r="B59" s="9" t="s">
        <v>223</v>
      </c>
      <c r="C59" s="20" t="s">
        <v>224</v>
      </c>
      <c r="D59" s="2">
        <v>1</v>
      </c>
      <c r="E59" s="21" t="s">
        <v>225</v>
      </c>
      <c r="F59" s="28" t="s">
        <v>226</v>
      </c>
      <c r="G59" s="5" t="s">
        <v>25</v>
      </c>
      <c r="H59" s="15"/>
      <c r="I59" s="6" t="s">
        <v>26</v>
      </c>
      <c r="J59" s="14"/>
      <c r="L59" t="s">
        <v>27</v>
      </c>
      <c r="M59" t="s">
        <v>227</v>
      </c>
      <c r="N59" s="14"/>
      <c r="O59" s="14"/>
      <c r="P59" s="23" t="s">
        <v>29</v>
      </c>
    </row>
    <row r="60" spans="1:16" ht="42.5" customHeight="1" thickBot="1" ns3:dyDescent="0.4">
      <c r="A60" s="1"/>
      <c r="B60" s="9" t="s">
        <v>228</v>
      </c>
      <c r="C60" s="20" t="s">
        <v>224</v>
      </c>
      <c r="D60" s="2">
        <v>1</v>
      </c>
      <c r="E60" s="21" t="s">
        <v>229</v>
      </c>
      <c r="F60" s="28" t="s">
        <v>230</v>
      </c>
      <c r="G60" s="5" t="s">
        <v>25</v>
      </c>
      <c r="H60" s="15"/>
      <c r="I60" s="6" t="s">
        <v>26</v>
      </c>
      <c r="J60" s="14"/>
      <c r="L60" t="s">
        <v>27</v>
      </c>
      <c r="M60" t="s">
        <v>231</v>
      </c>
      <c r="N60" s="14"/>
      <c r="O60" s="14"/>
      <c r="P60" s="23" t="s">
        <v>29</v>
      </c>
    </row>
    <row r="61" spans="1:16" ht="15" customHeight="1" thickBot="1" ns3:dyDescent="0.4">
      <c r="B61" s="9" t="s">
        <v>232</v>
      </c>
      <c r="C61" s="24" t="s">
        <v>199</v>
      </c>
      <c r="D61">
        <v>1</v>
      </c>
      <c r="E61" s="25" t="s">
        <v>233</v>
      </c>
      <c r="F61" s="26" t="s">
        <v>234</v>
      </c>
      <c r="G61" s="5" t="s">
        <v>25</v>
      </c>
      <c r="H61" s="14"/>
      <c r="I61" s="6" t="s">
        <v>26</v>
      </c>
      <c r="J61" s="14"/>
      <c r="L61" t="s">
        <v>27</v>
      </c>
      <c r="M61" t="s">
        <v>235</v>
      </c>
      <c r="N61" s="14"/>
      <c r="O61" s="14"/>
      <c r="P61" s="27" t="s">
        <v>66</v>
      </c>
    </row>
    <row r="62" spans="1:16" ht="15" customHeight="1" thickBot="1" ns3:dyDescent="0.4">
      <c r="B62" s="9" t="s">
        <v>236</v>
      </c>
      <c r="C62" s="24" t="s">
        <v>199</v>
      </c>
      <c r="D62">
        <v>1</v>
      </c>
      <c r="E62" s="25" t="s">
        <v>237</v>
      </c>
      <c r="F62" s="26" t="s">
        <v>238</v>
      </c>
      <c r="G62" s="5" t="s">
        <v>25</v>
      </c>
      <c r="H62" s="14"/>
      <c r="I62" s="6" t="s">
        <v>26</v>
      </c>
      <c r="J62" s="14"/>
      <c r="L62" t="s">
        <v>27</v>
      </c>
      <c r="M62" t="s">
        <v>239</v>
      </c>
      <c r="N62" s="14"/>
      <c r="O62" s="14"/>
      <c r="P62" s="27" t="s">
        <v>66</v>
      </c>
    </row>
    <row r="63" spans="1:16" ht="15" customHeight="1" thickBot="1" ns3:dyDescent="0.4">
      <c r="B63" s="9" t="s">
        <v>240</v>
      </c>
      <c r="C63" s="24" t="s">
        <v>199</v>
      </c>
      <c r="D63">
        <v>1</v>
      </c>
      <c r="E63" s="25" t="s">
        <v>241</v>
      </c>
      <c r="F63" s="26" t="s">
        <v>242</v>
      </c>
      <c r="G63" s="5" t="s">
        <v>25</v>
      </c>
      <c r="H63" s="14"/>
      <c r="I63" s="6" t="s">
        <v>26</v>
      </c>
      <c r="J63" s="14"/>
      <c r="L63" t="s">
        <v>27</v>
      </c>
      <c r="M63" t="s">
        <v>243</v>
      </c>
      <c r="N63" s="14"/>
      <c r="O63" s="14"/>
      <c r="P63" s="27" t="s">
        <v>66</v>
      </c>
    </row>
    <row r="64" spans="1:16" ht="15" customHeight="1" thickBot="1" ns3:dyDescent="0.4">
      <c r="B64" s="9" t="s">
        <v>244</v>
      </c>
      <c r="C64" s="24" t="s">
        <v>199</v>
      </c>
      <c r="D64">
        <v>2</v>
      </c>
      <c r="E64" s="25" t="s">
        <v>245</v>
      </c>
      <c r="F64" s="26" t="s">
        <v>246</v>
      </c>
      <c r="G64" s="5" t="s">
        <v>25</v>
      </c>
      <c r="H64" s="14"/>
      <c r="I64" s="6" t="s">
        <v>26</v>
      </c>
      <c r="J64" s="14"/>
      <c r="L64" t="s">
        <v>27</v>
      </c>
      <c r="M64" t="s">
        <v>247</v>
      </c>
      <c r="N64" s="14"/>
      <c r="O64" s="14"/>
      <c r="P64" s="27" t="s">
        <v>66</v>
      </c>
    </row>
    <row r="65" spans="1:16" ht="15" customHeight="1" thickBot="1" ns3:dyDescent="0.4">
      <c r="B65" s="9" t="s">
        <v>248</v>
      </c>
      <c r="C65" s="24" t="s">
        <v>249</v>
      </c>
      <c r="D65">
        <v>1</v>
      </c>
      <c r="E65" s="25" t="s">
        <v>250</v>
      </c>
      <c r="F65" s="26" t="s">
        <v>251</v>
      </c>
      <c r="G65" s="5" t="s">
        <v>25</v>
      </c>
      <c r="H65" s="14"/>
      <c r="I65" s="6" t="s">
        <v>26</v>
      </c>
      <c r="J65" s="14"/>
      <c r="L65" t="s">
        <v>27</v>
      </c>
      <c r="M65" t="s">
        <v>252</v>
      </c>
      <c r="N65" s="14"/>
      <c r="O65" s="14"/>
      <c r="P65" s="27" t="s">
        <v>66</v>
      </c>
    </row>
    <row r="66" spans="1:16" ht="15" customHeight="1" thickBot="1" ns3:dyDescent="0.4">
      <c r="B66" s="9" t="s">
        <v>253</v>
      </c>
      <c r="C66" s="24" t="s">
        <v>249</v>
      </c>
      <c r="D66">
        <v>2</v>
      </c>
      <c r="E66" s="25" t="s">
        <v>254</v>
      </c>
      <c r="F66" s="26" t="s">
        <v>255</v>
      </c>
      <c r="G66" s="5" t="s">
        <v>25</v>
      </c>
      <c r="H66" s="14"/>
      <c r="I66" s="6" t="s">
        <v>26</v>
      </c>
      <c r="J66" s="14"/>
      <c r="L66" t="s">
        <v>27</v>
      </c>
      <c r="M66" t="s">
        <v>256</v>
      </c>
      <c r="N66" s="14"/>
      <c r="O66" s="14"/>
      <c r="P66" s="27" t="s">
        <v>66</v>
      </c>
    </row>
    <row r="67" spans="1:16" ht="15" customHeight="1" thickBot="1" ns3:dyDescent="0.4">
      <c r="B67" s="9" t="s">
        <v>257</v>
      </c>
      <c r="C67" s="24" t="s">
        <v>258</v>
      </c>
      <c r="D67">
        <v>1</v>
      </c>
      <c r="E67" s="25" t="s">
        <v>259</v>
      </c>
      <c r="F67" s="26" t="s">
        <v>260</v>
      </c>
      <c r="G67" s="5" t="s">
        <v>25</v>
      </c>
      <c r="H67" s="14"/>
      <c r="I67" s="6" t="s">
        <v>26</v>
      </c>
      <c r="J67" s="14"/>
      <c r="L67" t="s">
        <v>27</v>
      </c>
      <c r="M67" t="s">
        <v>261</v>
      </c>
      <c r="N67" s="14"/>
      <c r="O67" s="14"/>
      <c r="P67" s="27" t="s">
        <v>66</v>
      </c>
    </row>
    <row r="68" spans="1:16" ht="15" customHeight="1" thickBot="1" ns3:dyDescent="0.4">
      <c r="B68" s="9" t="s">
        <v>262</v>
      </c>
      <c r="C68" s="24" t="s">
        <v>258</v>
      </c>
      <c r="D68">
        <v>2</v>
      </c>
      <c r="E68" s="25" t="s">
        <v>263</v>
      </c>
      <c r="F68" s="26" t="s">
        <v>264</v>
      </c>
      <c r="G68" s="5" t="s">
        <v>25</v>
      </c>
      <c r="H68" s="14"/>
      <c r="I68" s="6" t="s">
        <v>26</v>
      </c>
      <c r="J68" s="14"/>
      <c r="L68" t="s">
        <v>27</v>
      </c>
      <c r="M68" t="s">
        <v>265</v>
      </c>
      <c r="N68" s="14"/>
      <c r="O68" s="14"/>
      <c r="P68" s="27" t="s">
        <v>66</v>
      </c>
    </row>
    <row r="69" spans="1:16" ht="32" ns3:dyDescent="0.35">
      <c r="A69" s="19" t="s">
        <v>266</v>
      </c>
      <c r="E69" s="14"/>
      <c r="F69" s="14"/>
      <c r="H69" s="14"/>
      <c r="J69" s="14"/>
      <c r="N69" s="14"/>
      <c r="O69" s="14"/>
    </row>
    <row r="70" spans="1:16" ht="29" ns3:dyDescent="0.35">
      <c r="B70" s="10" t="s">
        <v>267</v>
      </c>
      <c r="C70" s="24" t="s">
        <v>56</v>
      </c>
      <c r="D70">
        <v>1</v>
      </c>
      <c r="E70" s="25" t="s">
        <v>268</v>
      </c>
      <c r="F70" s="26" t="s">
        <v>269</v>
      </c>
      <c r="G70" t="s">
        <v>25</v>
      </c>
      <c r="H70" s="14"/>
      <c r="I70" t="s">
        <v>270</v>
      </c>
      <c r="J70" s="14"/>
      <c r="L70" t="s">
        <v>27</v>
      </c>
      <c r="M70" t="s">
        <v>271</v>
      </c>
      <c r="N70" s="14"/>
      <c r="O70" s="14"/>
      <c r="P70" s="23" t="s">
        <v>29</v>
      </c>
    </row>
    <row r="71" spans="1:16" ht="29" ns3:dyDescent="0.35">
      <c r="B71" s="10" t="s">
        <v>272</v>
      </c>
      <c r="C71" s="24" t="s">
        <v>56</v>
      </c>
      <c r="D71">
        <v>2</v>
      </c>
      <c r="E71" s="25" t="s">
        <v>273</v>
      </c>
      <c r="F71" s="26" t="s">
        <v>274</v>
      </c>
      <c r="G71" t="s">
        <v>25</v>
      </c>
      <c r="H71" s="14"/>
      <c r="I71" t="s">
        <v>270</v>
      </c>
      <c r="J71" s="14"/>
      <c r="L71" t="s">
        <v>27</v>
      </c>
      <c r="M71" t="s">
        <v>275</v>
      </c>
      <c r="N71" s="14"/>
      <c r="O71" s="14"/>
      <c r="P71" s="23" t="s">
        <v>29</v>
      </c>
    </row>
    <row r="72" spans="1:16" ht="29" ns3:dyDescent="0.35">
      <c r="B72" s="10" t="s">
        <v>276</v>
      </c>
      <c r="C72" s="24" t="s">
        <v>47</v>
      </c>
      <c r="D72">
        <v>1</v>
      </c>
      <c r="E72" s="25" t="s">
        <v>277</v>
      </c>
      <c r="F72" s="26" t="s">
        <v>278</v>
      </c>
      <c r="G72" t="s">
        <v>25</v>
      </c>
      <c r="H72" s="14"/>
      <c r="I72" t="s">
        <v>270</v>
      </c>
      <c r="J72" s="14"/>
      <c r="L72" t="s">
        <v>27</v>
      </c>
      <c r="M72" t="s">
        <v>279</v>
      </c>
      <c r="N72" s="14"/>
      <c r="O72" s="14"/>
      <c r="P72" s="23" t="s">
        <v>29</v>
      </c>
    </row>
    <row r="73" spans="1:16" ht="29" ns3:dyDescent="0.35">
      <c r="B73" s="10" t="s">
        <v>280</v>
      </c>
      <c r="C73" s="24" t="s">
        <v>281</v>
      </c>
      <c r="D73">
        <v>1</v>
      </c>
      <c r="E73" s="25" t="s">
        <v>282</v>
      </c>
      <c r="F73" s="26" t="s">
        <v>283</v>
      </c>
      <c r="G73" t="s">
        <v>25</v>
      </c>
      <c r="H73" s="14"/>
      <c r="I73" t="s">
        <v>270</v>
      </c>
      <c r="J73" s="14"/>
      <c r="L73" t="s">
        <v>27</v>
      </c>
      <c r="M73" t="s">
        <v>284</v>
      </c>
      <c r="N73" s="14"/>
      <c r="O73" s="14"/>
      <c r="P73" s="29" t="s">
        <v>285</v>
      </c>
    </row>
    <row r="74" spans="1:16" ht="29" ns3:dyDescent="0.35">
      <c r="B74" s="10" t="s">
        <v>286</v>
      </c>
      <c r="C74" s="24" t="s">
        <v>287</v>
      </c>
      <c r="D74">
        <v>1</v>
      </c>
      <c r="E74" s="25" t="s">
        <v>288</v>
      </c>
      <c r="F74" s="26" t="s">
        <v>289</v>
      </c>
      <c r="G74" t="s">
        <v>25</v>
      </c>
      <c r="H74" s="14"/>
      <c r="I74" t="s">
        <v>270</v>
      </c>
      <c r="J74" s="14"/>
      <c r="L74" t="s">
        <v>27</v>
      </c>
      <c r="M74" t="s">
        <v>290</v>
      </c>
      <c r="N74" s="14"/>
      <c r="O74" s="14"/>
      <c r="P74" s="29" t="s">
        <v>285</v>
      </c>
    </row>
    <row r="75" spans="1:16" ht="29" ns3:dyDescent="0.35">
      <c r="B75" s="10" t="s">
        <v>291</v>
      </c>
      <c r="C75" s="24" t="s">
        <v>292</v>
      </c>
      <c r="D75">
        <v>1</v>
      </c>
      <c r="E75" s="25" t="s">
        <v>293</v>
      </c>
      <c r="F75" s="26" t="s">
        <v>294</v>
      </c>
      <c r="G75" t="s">
        <v>25</v>
      </c>
      <c r="H75" s="14"/>
      <c r="I75" t="s">
        <v>295</v>
      </c>
      <c r="J75" s="14"/>
      <c r="L75" t="s">
        <v>27</v>
      </c>
      <c r="M75" t="s">
        <v>296</v>
      </c>
      <c r="N75" s="14"/>
      <c r="O75" s="14"/>
      <c r="P75" s="29" t="s">
        <v>285</v>
      </c>
    </row>
    <row r="76" spans="1:16" ht="29" ns3:dyDescent="0.35">
      <c r="B76" s="10" t="s">
        <v>297</v>
      </c>
      <c r="C76" s="24" t="s">
        <v>292</v>
      </c>
      <c r="D76">
        <v>2</v>
      </c>
      <c r="E76" s="25" t="s">
        <v>298</v>
      </c>
      <c r="F76" s="26" t="s">
        <v>299</v>
      </c>
      <c r="G76" t="s">
        <v>25</v>
      </c>
      <c r="H76" s="14"/>
      <c r="I76" t="s">
        <v>270</v>
      </c>
      <c r="J76" s="14"/>
      <c r="L76" t="s">
        <v>27</v>
      </c>
      <c r="M76" t="s">
        <v>300</v>
      </c>
      <c r="N76" s="14"/>
      <c r="O76" s="14"/>
      <c r="P76" s="29" t="s">
        <v>285</v>
      </c>
    </row>
    <row r="77" spans="1:16" ht="29" ns3:dyDescent="0.35">
      <c r="B77" s="10" t="s">
        <v>301</v>
      </c>
      <c r="C77" s="24" t="s">
        <v>302</v>
      </c>
      <c r="D77">
        <v>1</v>
      </c>
      <c r="E77" s="25" t="s">
        <v>303</v>
      </c>
      <c r="F77" s="26" t="s">
        <v>304</v>
      </c>
      <c r="G77" t="s">
        <v>25</v>
      </c>
      <c r="H77" s="14"/>
      <c r="I77" t="s">
        <v>295</v>
      </c>
      <c r="J77" s="14"/>
      <c r="L77" t="s">
        <v>27</v>
      </c>
      <c r="M77" t="s">
        <v>305</v>
      </c>
      <c r="N77" s="14"/>
      <c r="O77" s="14"/>
      <c r="P77" s="29" t="s">
        <v>285</v>
      </c>
    </row>
    <row r="78" spans="1:16" ht="32" ns3:dyDescent="0.35">
      <c r="A78" s="19" t="s">
        <v>306</v>
      </c>
      <c r="E78" s="14"/>
      <c r="F78" s="14"/>
      <c r="H78" s="14"/>
      <c r="J78" s="14"/>
      <c r="N78" s="14"/>
      <c r="O78" s="14"/>
    </row>
    <row r="79" spans="1:16" ht="58" ns3:dyDescent="0.35">
      <c r="B79" s="10" t="s">
        <v>307</v>
      </c>
      <c r="C79" s="24" t="s">
        <v>308</v>
      </c>
      <c r="D79">
        <v>1</v>
      </c>
      <c r="E79" s="25" t="s">
        <v>309</v>
      </c>
      <c r="F79" s="26" t="s">
        <v>310</v>
      </c>
      <c r="G79" t="s">
        <v>25</v>
      </c>
      <c r="H79" s="14"/>
      <c r="I79" t="s">
        <v>270</v>
      </c>
      <c r="J79" s="14"/>
      <c r="L79" t="s">
        <v>311</v>
      </c>
      <c r="M79" t="s">
        <v>312</v>
      </c>
      <c r="N79" s="14"/>
      <c r="O79" s="14" t="s">
        <v>313</v>
      </c>
      <c r="P79" s="29" t="s">
        <v>285</v>
      </c>
    </row>
    <row r="80" spans="1:16" ht="58" ns3:dyDescent="0.35">
      <c r="B80" s="10" t="s">
        <v>314</v>
      </c>
      <c r="C80" s="24" t="s">
        <v>308</v>
      </c>
      <c r="D80">
        <v>2</v>
      </c>
      <c r="E80" s="25" t="s">
        <v>315</v>
      </c>
      <c r="F80" s="26" t="s">
        <v>316</v>
      </c>
      <c r="G80" t="s">
        <v>25</v>
      </c>
      <c r="H80" s="14"/>
      <c r="I80" t="s">
        <v>295</v>
      </c>
      <c r="J80" s="14"/>
      <c r="L80" t="s">
        <v>311</v>
      </c>
      <c r="M80" t="s">
        <v>317</v>
      </c>
      <c r="N80" s="14"/>
      <c r="O80" s="14" t="s">
        <v>313</v>
      </c>
      <c r="P80" s="29" t="s">
        <v>285</v>
      </c>
    </row>
    <row r="81" spans="2:16" ht="43.5" ns3:dyDescent="0.35">
      <c r="B81" s="10" t="s">
        <v>318</v>
      </c>
      <c r="C81" s="24" t="s">
        <v>319</v>
      </c>
      <c r="D81">
        <v>1</v>
      </c>
      <c r="E81" s="25" t="s">
        <v>320</v>
      </c>
      <c r="F81" s="26" t="s">
        <v>310</v>
      </c>
      <c r="G81" t="s">
        <v>25</v>
      </c>
      <c r="H81" s="14"/>
      <c r="I81" t="s">
        <v>270</v>
      </c>
      <c r="J81" s="14"/>
      <c r="L81" t="s">
        <v>311</v>
      </c>
      <c r="M81" t="s">
        <v>321</v>
      </c>
      <c r="N81" s="14"/>
      <c r="O81" s="14" t="s">
        <v>322</v>
      </c>
      <c r="P81" s="29" t="s">
        <v>285</v>
      </c>
    </row>
    <row r="82" spans="2:16" ht="43.5" ns3:dyDescent="0.35">
      <c r="B82" s="10" t="s">
        <v>323</v>
      </c>
      <c r="C82" s="24" t="s">
        <v>319</v>
      </c>
      <c r="D82">
        <v>2</v>
      </c>
      <c r="E82" s="25" t="s">
        <v>324</v>
      </c>
      <c r="F82" s="26" t="s">
        <v>316</v>
      </c>
      <c r="G82" t="s">
        <v>25</v>
      </c>
      <c r="H82" s="14"/>
      <c r="I82" t="s">
        <v>295</v>
      </c>
      <c r="J82" s="14"/>
      <c r="L82" t="s">
        <v>311</v>
      </c>
      <c r="M82" t="s">
        <v>325</v>
      </c>
      <c r="N82" s="14"/>
      <c r="O82" s="14" t="s">
        <v>322</v>
      </c>
      <c r="P82" s="29" t="s">
        <v>285</v>
      </c>
    </row>
    <row r="83" spans="2:16" ht="43.5" ns3:dyDescent="0.35">
      <c r="B83" s="10" t="s">
        <v>326</v>
      </c>
      <c r="C83" s="24" t="s">
        <v>327</v>
      </c>
      <c r="D83">
        <v>1</v>
      </c>
      <c r="E83" s="25" t="s">
        <v>328</v>
      </c>
      <c r="F83" s="26" t="s">
        <v>310</v>
      </c>
      <c r="G83" t="s">
        <v>25</v>
      </c>
      <c r="H83" s="14"/>
      <c r="I83" t="s">
        <v>270</v>
      </c>
      <c r="J83" s="14"/>
      <c r="L83" t="s">
        <v>27</v>
      </c>
      <c r="M83" t="s">
        <v>329</v>
      </c>
      <c r="N83" s="14"/>
      <c r="O83" s="14" t="s">
        <v>330</v>
      </c>
      <c r="P83" s="29" t="s">
        <v>285</v>
      </c>
    </row>
    <row r="84" spans="2:16" ht="43.5" ns3:dyDescent="0.35">
      <c r="B84" s="10" t="s">
        <v>331</v>
      </c>
      <c r="C84" s="24" t="s">
        <v>327</v>
      </c>
      <c r="D84">
        <v>2</v>
      </c>
      <c r="E84" s="25" t="s">
        <v>332</v>
      </c>
      <c r="F84" s="26" t="s">
        <v>316</v>
      </c>
      <c r="G84" t="s">
        <v>25</v>
      </c>
      <c r="H84" s="14"/>
      <c r="I84" t="s">
        <v>295</v>
      </c>
      <c r="J84" s="14"/>
      <c r="L84" t="s">
        <v>27</v>
      </c>
      <c r="M84" t="s">
        <v>333</v>
      </c>
      <c r="N84" s="14"/>
      <c r="O84" s="14" t="s">
        <v>330</v>
      </c>
      <c r="P84" s="29" t="s">
        <v>285</v>
      </c>
    </row>
    <row r="85" spans="2:16" ht="43.5" ns3:dyDescent="0.35">
      <c r="B85" s="10" t="s">
        <v>334</v>
      </c>
      <c r="C85" s="24" t="s">
        <v>335</v>
      </c>
      <c r="D85">
        <v>1</v>
      </c>
      <c r="E85" s="25" t="s">
        <v>336</v>
      </c>
      <c r="F85" s="26" t="s">
        <v>310</v>
      </c>
      <c r="G85" t="s">
        <v>25</v>
      </c>
      <c r="H85" s="14"/>
      <c r="I85" t="s">
        <v>270</v>
      </c>
      <c r="J85" s="14"/>
      <c r="L85" t="s">
        <v>27</v>
      </c>
      <c r="M85" t="s">
        <v>337</v>
      </c>
      <c r="N85" s="14"/>
      <c r="O85" s="14" t="s">
        <v>338</v>
      </c>
      <c r="P85" s="29" t="s">
        <v>285</v>
      </c>
    </row>
    <row r="86" spans="2:16" ht="43.5" ns3:dyDescent="0.35">
      <c r="B86" s="10" t="s">
        <v>339</v>
      </c>
      <c r="C86" s="24" t="s">
        <v>335</v>
      </c>
      <c r="D86">
        <v>2</v>
      </c>
      <c r="E86" s="25" t="s">
        <v>340</v>
      </c>
      <c r="F86" s="26" t="s">
        <v>316</v>
      </c>
      <c r="G86" t="s">
        <v>25</v>
      </c>
      <c r="H86" s="14"/>
      <c r="I86" t="s">
        <v>295</v>
      </c>
      <c r="J86" s="14"/>
      <c r="L86" t="s">
        <v>27</v>
      </c>
      <c r="M86" t="s">
        <v>341</v>
      </c>
      <c r="N86" s="14"/>
      <c r="O86" s="14" t="s">
        <v>338</v>
      </c>
      <c r="P86" s="29" t="s">
        <v>285</v>
      </c>
    </row>
    <row r="87" spans="2:16" ht="43.5" ns3:dyDescent="0.35">
      <c r="B87" s="10" t="s">
        <v>342</v>
      </c>
      <c r="C87" s="24" t="s">
        <v>343</v>
      </c>
      <c r="D87">
        <v>1</v>
      </c>
      <c r="E87" s="25" t="s">
        <v>344</v>
      </c>
      <c r="F87" s="26" t="s">
        <v>310</v>
      </c>
      <c r="G87" t="s">
        <v>25</v>
      </c>
      <c r="H87" s="14"/>
      <c r="I87" t="s">
        <v>270</v>
      </c>
      <c r="J87" s="14"/>
      <c r="L87" t="s">
        <v>345</v>
      </c>
      <c r="M87" t="s">
        <v>346</v>
      </c>
      <c r="N87" s="14"/>
      <c r="O87" s="14" t="s">
        <v>347</v>
      </c>
      <c r="P87" s="29" t="s">
        <v>285</v>
      </c>
    </row>
    <row r="88" spans="2:16" ht="43.5" ns3:dyDescent="0.35">
      <c r="B88" s="10" t="s">
        <v>348</v>
      </c>
      <c r="C88" s="24" t="s">
        <v>343</v>
      </c>
      <c r="D88">
        <v>2</v>
      </c>
      <c r="E88" s="25" t="s">
        <v>349</v>
      </c>
      <c r="F88" s="26" t="s">
        <v>350</v>
      </c>
      <c r="G88" t="s">
        <v>25</v>
      </c>
      <c r="H88" s="14"/>
      <c r="I88" t="s">
        <v>295</v>
      </c>
      <c r="J88" s="14"/>
      <c r="L88" t="s">
        <v>345</v>
      </c>
      <c r="M88" t="s">
        <v>351</v>
      </c>
      <c r="N88" s="14"/>
      <c r="O88" s="14" t="s">
        <v>347</v>
      </c>
      <c r="P88" s="23" t="s">
        <v>29</v>
      </c>
    </row>
    <row r="89" spans="2:16" ht="43.5" ns3:dyDescent="0.35">
      <c r="B89" s="10" t="s">
        <v>352</v>
      </c>
      <c r="C89" s="24" t="s">
        <v>353</v>
      </c>
      <c r="D89">
        <v>1</v>
      </c>
      <c r="E89" s="25" t="s">
        <v>354</v>
      </c>
      <c r="F89" s="26" t="s">
        <v>310</v>
      </c>
      <c r="G89" t="s">
        <v>25</v>
      </c>
      <c r="H89" s="14"/>
      <c r="I89" t="s">
        <v>270</v>
      </c>
      <c r="J89" s="14"/>
      <c r="L89" t="s">
        <v>345</v>
      </c>
      <c r="M89" t="s">
        <v>355</v>
      </c>
      <c r="N89" s="14"/>
      <c r="O89" s="14" t="s">
        <v>356</v>
      </c>
      <c r="P89" s="29" t="s">
        <v>285</v>
      </c>
    </row>
    <row r="90" spans="2:16" ht="43.5" ns3:dyDescent="0.35">
      <c r="B90" s="10" t="s">
        <v>357</v>
      </c>
      <c r="C90" s="24" t="s">
        <v>353</v>
      </c>
      <c r="D90">
        <v>2</v>
      </c>
      <c r="E90" s="25" t="s">
        <v>349</v>
      </c>
      <c r="F90" s="26" t="s">
        <v>350</v>
      </c>
      <c r="G90" t="s">
        <v>25</v>
      </c>
      <c r="H90" s="14"/>
      <c r="I90" t="s">
        <v>295</v>
      </c>
      <c r="J90" s="14"/>
      <c r="L90" t="s">
        <v>345</v>
      </c>
      <c r="M90" t="s">
        <v>358</v>
      </c>
      <c r="N90" s="14"/>
      <c r="O90" s="14" t="s">
        <v>356</v>
      </c>
      <c r="P90" s="23" t="s">
        <v>29</v>
      </c>
    </row>
    <row r="91" spans="2:16" ht="43.5" ns3:dyDescent="0.35">
      <c r="B91" s="10" t="s">
        <v>359</v>
      </c>
      <c r="C91" s="24" t="s">
        <v>343</v>
      </c>
      <c r="D91">
        <v>1</v>
      </c>
      <c r="E91" s="25" t="s">
        <v>344</v>
      </c>
      <c r="F91" s="26" t="s">
        <v>310</v>
      </c>
      <c r="G91" t="s">
        <v>25</v>
      </c>
      <c r="H91" s="14"/>
      <c r="I91" t="s">
        <v>270</v>
      </c>
      <c r="J91" s="14"/>
      <c r="L91" t="s">
        <v>345</v>
      </c>
      <c r="M91" t="s">
        <v>360</v>
      </c>
      <c r="N91" s="14"/>
      <c r="O91" s="14" t="s">
        <v>361</v>
      </c>
      <c r="P91" s="29" t="s">
        <v>285</v>
      </c>
    </row>
    <row r="92" spans="2:16" ht="43.5" ns3:dyDescent="0.35">
      <c r="B92" s="10" t="s">
        <v>362</v>
      </c>
      <c r="C92" s="24" t="s">
        <v>343</v>
      </c>
      <c r="D92">
        <v>2</v>
      </c>
      <c r="E92" s="25" t="s">
        <v>349</v>
      </c>
      <c r="F92" s="26" t="s">
        <v>350</v>
      </c>
      <c r="G92" t="s">
        <v>25</v>
      </c>
      <c r="H92" s="14"/>
      <c r="I92" t="s">
        <v>295</v>
      </c>
      <c r="J92" s="14"/>
      <c r="L92" t="s">
        <v>345</v>
      </c>
      <c r="M92" t="s">
        <v>363</v>
      </c>
      <c r="N92" s="14"/>
      <c r="O92" s="14" t="s">
        <v>361</v>
      </c>
      <c r="P92" s="23" t="s">
        <v>29</v>
      </c>
    </row>
    <row r="93" spans="2:16" ht="43.5" ns3:dyDescent="0.35">
      <c r="B93" s="10" t="s">
        <v>364</v>
      </c>
      <c r="C93" s="24" t="s">
        <v>343</v>
      </c>
      <c r="D93">
        <v>1</v>
      </c>
      <c r="E93" s="25" t="s">
        <v>344</v>
      </c>
      <c r="F93" s="26" t="s">
        <v>310</v>
      </c>
      <c r="G93" t="s">
        <v>25</v>
      </c>
      <c r="H93" s="14"/>
      <c r="I93" t="s">
        <v>270</v>
      </c>
      <c r="J93" s="14"/>
      <c r="L93" t="s">
        <v>345</v>
      </c>
      <c r="M93" t="s">
        <v>365</v>
      </c>
      <c r="N93" s="14"/>
      <c r="O93" s="14" t="s">
        <v>366</v>
      </c>
      <c r="P93" s="29" t="s">
        <v>285</v>
      </c>
    </row>
    <row r="94" spans="2:16" ht="43.5" ns3:dyDescent="0.35">
      <c r="B94" s="10" t="s">
        <v>367</v>
      </c>
      <c r="C94" s="24" t="s">
        <v>343</v>
      </c>
      <c r="D94">
        <v>2</v>
      </c>
      <c r="E94" s="25" t="s">
        <v>349</v>
      </c>
      <c r="F94" s="26" t="s">
        <v>350</v>
      </c>
      <c r="G94" t="s">
        <v>25</v>
      </c>
      <c r="H94" s="14"/>
      <c r="I94" t="s">
        <v>295</v>
      </c>
      <c r="J94" s="14"/>
      <c r="L94" t="s">
        <v>345</v>
      </c>
      <c r="M94" t="s">
        <v>368</v>
      </c>
      <c r="N94" s="14"/>
      <c r="O94" s="14" t="s">
        <v>366</v>
      </c>
      <c r="P94" s="23" t="s">
        <v>29</v>
      </c>
    </row>
    <row r="95" spans="2:16" ht="43.5" ns3:dyDescent="0.35">
      <c r="B95" s="10" t="s">
        <v>369</v>
      </c>
      <c r="C95" s="24" t="s">
        <v>343</v>
      </c>
      <c r="D95">
        <v>1</v>
      </c>
      <c r="E95" s="25" t="s">
        <v>344</v>
      </c>
      <c r="F95" s="26" t="s">
        <v>310</v>
      </c>
      <c r="G95" t="s">
        <v>25</v>
      </c>
      <c r="H95" s="14"/>
      <c r="I95" t="s">
        <v>270</v>
      </c>
      <c r="J95" s="14"/>
      <c r="L95" t="s">
        <v>345</v>
      </c>
      <c r="M95" t="s">
        <v>370</v>
      </c>
      <c r="N95" s="14"/>
      <c r="O95" s="14" t="s">
        <v>371</v>
      </c>
      <c r="P95" s="29" t="s">
        <v>285</v>
      </c>
    </row>
    <row r="96" spans="2:16" ht="43.5" ns3:dyDescent="0.35">
      <c r="B96" s="10" t="s">
        <v>372</v>
      </c>
      <c r="C96" s="24" t="s">
        <v>343</v>
      </c>
      <c r="D96">
        <v>2</v>
      </c>
      <c r="E96" s="25" t="s">
        <v>349</v>
      </c>
      <c r="F96" s="26" t="s">
        <v>350</v>
      </c>
      <c r="G96" t="s">
        <v>25</v>
      </c>
      <c r="H96" s="14"/>
      <c r="I96" t="s">
        <v>295</v>
      </c>
      <c r="J96" s="14"/>
      <c r="L96" t="s">
        <v>345</v>
      </c>
      <c r="M96" t="s">
        <v>373</v>
      </c>
      <c r="N96" s="14"/>
      <c r="O96" s="14" t="s">
        <v>371</v>
      </c>
      <c r="P96" s="23" t="s">
        <v>29</v>
      </c>
    </row>
    <row r="97" spans="2:16" ht="43.5" ns3:dyDescent="0.35">
      <c r="B97" s="10" t="s">
        <v>374</v>
      </c>
      <c r="C97" s="24" t="s">
        <v>343</v>
      </c>
      <c r="D97">
        <v>1</v>
      </c>
      <c r="E97" s="25" t="s">
        <v>344</v>
      </c>
      <c r="F97" s="26" t="s">
        <v>310</v>
      </c>
      <c r="G97" t="s">
        <v>25</v>
      </c>
      <c r="H97" s="14"/>
      <c r="I97" t="s">
        <v>270</v>
      </c>
      <c r="J97" s="14"/>
      <c r="L97" t="s">
        <v>345</v>
      </c>
      <c r="M97" t="s">
        <v>375</v>
      </c>
      <c r="N97" s="14"/>
      <c r="O97" s="14" t="s">
        <v>376</v>
      </c>
      <c r="P97" s="29" t="s">
        <v>285</v>
      </c>
    </row>
    <row r="98" spans="2:16" ht="43.5" ns3:dyDescent="0.35">
      <c r="B98" s="10" t="s">
        <v>377</v>
      </c>
      <c r="C98" s="24" t="s">
        <v>343</v>
      </c>
      <c r="D98">
        <v>2</v>
      </c>
      <c r="E98" s="25" t="s">
        <v>349</v>
      </c>
      <c r="F98" s="26" t="s">
        <v>350</v>
      </c>
      <c r="G98" t="s">
        <v>25</v>
      </c>
      <c r="H98" s="14"/>
      <c r="I98" t="s">
        <v>295</v>
      </c>
      <c r="J98" s="14"/>
      <c r="L98" t="s">
        <v>345</v>
      </c>
      <c r="M98" t="s">
        <v>378</v>
      </c>
      <c r="N98" s="14"/>
      <c r="O98" s="14" t="s">
        <v>376</v>
      </c>
      <c r="P98" s="23" t="s">
        <v>29</v>
      </c>
    </row>
    <row r="99" spans="2:16" ht="43.5" ns3:dyDescent="0.35">
      <c r="B99" s="10" t="s">
        <v>379</v>
      </c>
      <c r="C99" s="24" t="s">
        <v>343</v>
      </c>
      <c r="D99">
        <v>1</v>
      </c>
      <c r="E99" s="25" t="s">
        <v>344</v>
      </c>
      <c r="F99" s="26" t="s">
        <v>310</v>
      </c>
      <c r="G99" t="s">
        <v>25</v>
      </c>
      <c r="H99" s="14"/>
      <c r="I99" t="s">
        <v>270</v>
      </c>
      <c r="J99" s="14"/>
      <c r="L99" t="s">
        <v>345</v>
      </c>
      <c r="M99" t="s">
        <v>380</v>
      </c>
      <c r="N99" s="14"/>
      <c r="O99" s="14" t="s">
        <v>381</v>
      </c>
      <c r="P99" s="29" t="s">
        <v>285</v>
      </c>
    </row>
    <row r="100" spans="2:16" ht="43.5" ns3:dyDescent="0.35">
      <c r="B100" s="10" t="s">
        <v>382</v>
      </c>
      <c r="C100" s="24" t="s">
        <v>343</v>
      </c>
      <c r="D100">
        <v>2</v>
      </c>
      <c r="E100" s="25" t="s">
        <v>349</v>
      </c>
      <c r="F100" s="26" t="s">
        <v>350</v>
      </c>
      <c r="G100" t="s">
        <v>25</v>
      </c>
      <c r="H100" s="14"/>
      <c r="I100" t="s">
        <v>295</v>
      </c>
      <c r="J100" s="14"/>
      <c r="L100" t="s">
        <v>345</v>
      </c>
      <c r="M100" t="s">
        <v>383</v>
      </c>
      <c r="N100" s="14"/>
      <c r="O100" s="14" t="s">
        <v>381</v>
      </c>
      <c r="P100" s="23" t="s">
        <v>29</v>
      </c>
    </row>
    <row r="101" spans="2:16" ht="43.5" ns3:dyDescent="0.35">
      <c r="B101" s="10" t="s">
        <v>384</v>
      </c>
      <c r="C101" s="24" t="s">
        <v>385</v>
      </c>
      <c r="D101">
        <v>1</v>
      </c>
      <c r="E101" s="25" t="s">
        <v>386</v>
      </c>
      <c r="F101" s="26" t="s">
        <v>310</v>
      </c>
      <c r="G101" t="s">
        <v>25</v>
      </c>
      <c r="H101" s="14"/>
      <c r="I101" t="s">
        <v>270</v>
      </c>
      <c r="J101" s="14"/>
      <c r="L101" t="s">
        <v>345</v>
      </c>
      <c r="M101" t="s">
        <v>387</v>
      </c>
      <c r="N101" s="14"/>
      <c r="O101" s="14" t="s">
        <v>388</v>
      </c>
      <c r="P101" s="29" t="s">
        <v>285</v>
      </c>
    </row>
    <row r="102" spans="2:16" ht="43.5" ns3:dyDescent="0.35">
      <c r="B102" s="10" t="s">
        <v>389</v>
      </c>
      <c r="C102" s="24" t="s">
        <v>385</v>
      </c>
      <c r="D102">
        <v>2</v>
      </c>
      <c r="E102" s="25" t="s">
        <v>349</v>
      </c>
      <c r="F102" s="26" t="s">
        <v>350</v>
      </c>
      <c r="G102" t="s">
        <v>25</v>
      </c>
      <c r="H102" s="14"/>
      <c r="I102" t="s">
        <v>295</v>
      </c>
      <c r="J102" s="14"/>
      <c r="L102" t="s">
        <v>345</v>
      </c>
      <c r="M102" t="s">
        <v>390</v>
      </c>
      <c r="N102" s="14"/>
      <c r="O102" s="14" t="s">
        <v>388</v>
      </c>
      <c r="P102" s="23" t="s">
        <v>29</v>
      </c>
    </row>
    <row r="103" spans="2:16" ht="43.5" ns3:dyDescent="0.35">
      <c r="B103" s="10" t="s">
        <v>391</v>
      </c>
      <c r="C103" s="24" t="s">
        <v>392</v>
      </c>
      <c r="D103">
        <v>1</v>
      </c>
      <c r="E103" s="25" t="s">
        <v>393</v>
      </c>
      <c r="F103" s="26" t="s">
        <v>310</v>
      </c>
      <c r="G103" t="s">
        <v>25</v>
      </c>
      <c r="H103" s="14"/>
      <c r="I103" t="s">
        <v>270</v>
      </c>
      <c r="J103" s="14"/>
      <c r="L103" t="s">
        <v>345</v>
      </c>
      <c r="M103" t="s">
        <v>394</v>
      </c>
      <c r="N103" s="14"/>
      <c r="O103" s="14" t="s">
        <v>395</v>
      </c>
      <c r="P103" s="29" t="s">
        <v>285</v>
      </c>
    </row>
    <row r="104" spans="2:16" ht="43.5" ns3:dyDescent="0.35">
      <c r="B104" s="10" t="s">
        <v>396</v>
      </c>
      <c r="C104" s="24" t="s">
        <v>392</v>
      </c>
      <c r="D104">
        <v>2</v>
      </c>
      <c r="E104" s="25" t="s">
        <v>349</v>
      </c>
      <c r="F104" s="26" t="s">
        <v>350</v>
      </c>
      <c r="G104" t="s">
        <v>25</v>
      </c>
      <c r="H104" s="14"/>
      <c r="I104" t="s">
        <v>295</v>
      </c>
      <c r="J104" s="14"/>
      <c r="L104" t="s">
        <v>345</v>
      </c>
      <c r="M104" t="s">
        <v>397</v>
      </c>
      <c r="N104" s="14"/>
      <c r="O104" s="14" t="s">
        <v>395</v>
      </c>
      <c r="P104" s="23" t="s">
        <v>29</v>
      </c>
    </row>
    <row r="105" spans="2:16" ht="43.5" ns3:dyDescent="0.35">
      <c r="B105" s="10" t="s">
        <v>398</v>
      </c>
      <c r="C105" s="24" t="s">
        <v>399</v>
      </c>
      <c r="D105">
        <v>1</v>
      </c>
      <c r="E105" s="25" t="s">
        <v>400</v>
      </c>
      <c r="F105" s="26" t="s">
        <v>310</v>
      </c>
      <c r="G105" t="s">
        <v>25</v>
      </c>
      <c r="H105" s="14"/>
      <c r="I105" t="s">
        <v>270</v>
      </c>
      <c r="J105" s="14"/>
      <c r="L105" t="s">
        <v>345</v>
      </c>
      <c r="M105" t="s">
        <v>401</v>
      </c>
      <c r="N105" s="14"/>
      <c r="O105" s="14" t="s">
        <v>402</v>
      </c>
      <c r="P105" s="29" t="s">
        <v>285</v>
      </c>
    </row>
    <row r="106" spans="2:16" ht="43.5" ns3:dyDescent="0.35">
      <c r="B106" s="10" t="s">
        <v>403</v>
      </c>
      <c r="C106" s="24" t="s">
        <v>399</v>
      </c>
      <c r="D106">
        <v>2</v>
      </c>
      <c r="E106" s="25" t="s">
        <v>349</v>
      </c>
      <c r="F106" s="26" t="s">
        <v>350</v>
      </c>
      <c r="G106" t="s">
        <v>25</v>
      </c>
      <c r="H106" s="14"/>
      <c r="I106" t="s">
        <v>295</v>
      </c>
      <c r="J106" s="14"/>
      <c r="L106" t="s">
        <v>345</v>
      </c>
      <c r="M106" t="s">
        <v>404</v>
      </c>
      <c r="N106" s="14"/>
      <c r="O106" s="14" t="s">
        <v>402</v>
      </c>
      <c r="P106" s="23" t="s">
        <v>29</v>
      </c>
    </row>
    <row r="107" spans="2:16" ht="43.5" ns3:dyDescent="0.35">
      <c r="B107" s="10" t="s">
        <v>405</v>
      </c>
      <c r="C107" s="24" t="s">
        <v>406</v>
      </c>
      <c r="D107">
        <v>1</v>
      </c>
      <c r="E107" s="25" t="s">
        <v>407</v>
      </c>
      <c r="F107" s="26" t="s">
        <v>310</v>
      </c>
      <c r="G107" t="s">
        <v>25</v>
      </c>
      <c r="H107" s="14"/>
      <c r="I107" t="s">
        <v>270</v>
      </c>
      <c r="J107" s="14"/>
      <c r="L107" t="s">
        <v>345</v>
      </c>
      <c r="M107" t="s">
        <v>408</v>
      </c>
      <c r="N107" s="14"/>
      <c r="O107" s="14" t="s">
        <v>409</v>
      </c>
      <c r="P107" s="29" t="s">
        <v>285</v>
      </c>
    </row>
    <row r="108" spans="2:16" ht="43.5" ns3:dyDescent="0.35">
      <c r="B108" s="10" t="s">
        <v>410</v>
      </c>
      <c r="C108" s="24" t="s">
        <v>406</v>
      </c>
      <c r="D108">
        <v>2</v>
      </c>
      <c r="E108" s="25" t="s">
        <v>349</v>
      </c>
      <c r="F108" s="26" t="s">
        <v>350</v>
      </c>
      <c r="G108" t="s">
        <v>25</v>
      </c>
      <c r="H108" s="14"/>
      <c r="I108" t="s">
        <v>295</v>
      </c>
      <c r="J108" s="14"/>
      <c r="L108" t="s">
        <v>345</v>
      </c>
      <c r="M108" t="s">
        <v>411</v>
      </c>
      <c r="N108" s="14"/>
      <c r="O108" s="14" t="s">
        <v>409</v>
      </c>
      <c r="P108" s="23" t="s">
        <v>29</v>
      </c>
    </row>
    <row r="109" spans="2:16" ht="43.5" ns3:dyDescent="0.35">
      <c r="B109" s="10" t="s">
        <v>412</v>
      </c>
      <c r="C109" s="24" t="s">
        <v>413</v>
      </c>
      <c r="D109">
        <v>1</v>
      </c>
      <c r="E109" s="25" t="s">
        <v>414</v>
      </c>
      <c r="F109" s="26" t="s">
        <v>310</v>
      </c>
      <c r="G109" t="s">
        <v>25</v>
      </c>
      <c r="H109" s="14"/>
      <c r="I109" t="s">
        <v>270</v>
      </c>
      <c r="J109" s="14"/>
      <c r="L109" t="s">
        <v>345</v>
      </c>
      <c r="M109" t="s">
        <v>415</v>
      </c>
      <c r="N109" s="14"/>
      <c r="O109" s="14" t="s">
        <v>416</v>
      </c>
      <c r="P109" s="29" t="s">
        <v>285</v>
      </c>
    </row>
    <row r="110" spans="2:16" ht="43.5" ns3:dyDescent="0.35">
      <c r="B110" s="10" t="s">
        <v>417</v>
      </c>
      <c r="C110" s="24" t="s">
        <v>413</v>
      </c>
      <c r="D110">
        <v>2</v>
      </c>
      <c r="E110" s="25" t="s">
        <v>349</v>
      </c>
      <c r="F110" s="26" t="s">
        <v>350</v>
      </c>
      <c r="G110" t="s">
        <v>25</v>
      </c>
      <c r="H110" s="14"/>
      <c r="I110" t="s">
        <v>295</v>
      </c>
      <c r="J110" s="14"/>
      <c r="L110" t="s">
        <v>345</v>
      </c>
      <c r="M110" t="s">
        <v>418</v>
      </c>
      <c r="N110" s="14"/>
      <c r="O110" s="14" t="s">
        <v>416</v>
      </c>
      <c r="P110" s="23" t="s">
        <v>29</v>
      </c>
    </row>
    <row r="111" spans="2:16" ht="43.5" ns3:dyDescent="0.35">
      <c r="B111" s="10" t="s">
        <v>419</v>
      </c>
      <c r="C111" s="24" t="s">
        <v>343</v>
      </c>
      <c r="D111">
        <v>1</v>
      </c>
      <c r="E111" s="25" t="s">
        <v>344</v>
      </c>
      <c r="F111" s="26" t="s">
        <v>310</v>
      </c>
      <c r="G111" t="s">
        <v>25</v>
      </c>
      <c r="H111" s="14"/>
      <c r="I111" t="s">
        <v>270</v>
      </c>
      <c r="J111" s="14"/>
      <c r="L111" t="s">
        <v>345</v>
      </c>
      <c r="M111" t="s">
        <v>420</v>
      </c>
      <c r="N111" s="14"/>
      <c r="O111" s="14" t="s">
        <v>421</v>
      </c>
      <c r="P111" s="29" t="s">
        <v>285</v>
      </c>
    </row>
    <row r="112" spans="2:16" ht="43.5" ns3:dyDescent="0.35">
      <c r="B112" s="10" t="s">
        <v>422</v>
      </c>
      <c r="C112" s="24" t="s">
        <v>343</v>
      </c>
      <c r="D112">
        <v>2</v>
      </c>
      <c r="E112" s="25" t="s">
        <v>349</v>
      </c>
      <c r="F112" s="26" t="s">
        <v>350</v>
      </c>
      <c r="G112" t="s">
        <v>25</v>
      </c>
      <c r="H112" s="14"/>
      <c r="I112" t="s">
        <v>295</v>
      </c>
      <c r="J112" s="14"/>
      <c r="L112" t="s">
        <v>345</v>
      </c>
      <c r="M112" t="s">
        <v>423</v>
      </c>
      <c r="N112" s="14"/>
      <c r="O112" s="14" t="s">
        <v>421</v>
      </c>
      <c r="P112" s="23" t="s">
        <v>29</v>
      </c>
    </row>
    <row r="113" spans="2:16" ht="43.5" ns3:dyDescent="0.35">
      <c r="B113" s="10" t="s">
        <v>424</v>
      </c>
      <c r="C113" s="24" t="s">
        <v>425</v>
      </c>
      <c r="D113">
        <v>1</v>
      </c>
      <c r="E113" s="25" t="s">
        <v>426</v>
      </c>
      <c r="F113" s="26" t="s">
        <v>310</v>
      </c>
      <c r="G113" t="s">
        <v>25</v>
      </c>
      <c r="H113" s="14"/>
      <c r="I113" t="s">
        <v>270</v>
      </c>
      <c r="J113" s="14"/>
      <c r="L113" t="s">
        <v>345</v>
      </c>
      <c r="M113" t="s">
        <v>427</v>
      </c>
      <c r="N113" s="14"/>
      <c r="O113" s="14" t="s">
        <v>428</v>
      </c>
      <c r="P113" s="29" t="s">
        <v>285</v>
      </c>
    </row>
    <row r="114" spans="2:16" ht="43.5" ns3:dyDescent="0.35">
      <c r="B114" s="10" t="s">
        <v>429</v>
      </c>
      <c r="C114" s="24" t="s">
        <v>425</v>
      </c>
      <c r="D114">
        <v>2</v>
      </c>
      <c r="E114" s="25" t="s">
        <v>349</v>
      </c>
      <c r="F114" s="26" t="s">
        <v>350</v>
      </c>
      <c r="G114" t="s">
        <v>25</v>
      </c>
      <c r="H114" s="14"/>
      <c r="I114" t="s">
        <v>295</v>
      </c>
      <c r="J114" s="14"/>
      <c r="L114" t="s">
        <v>345</v>
      </c>
      <c r="M114" t="s">
        <v>430</v>
      </c>
      <c r="N114" s="14"/>
      <c r="O114" s="14" t="s">
        <v>428</v>
      </c>
      <c r="P114" s="23" t="s">
        <v>29</v>
      </c>
    </row>
    <row r="115" spans="2:16" ht="58" ns3:dyDescent="0.35">
      <c r="B115" s="10" t="s">
        <v>431</v>
      </c>
      <c r="C115" s="24" t="s">
        <v>432</v>
      </c>
      <c r="D115">
        <v>1</v>
      </c>
      <c r="E115" s="25" t="s">
        <v>433</v>
      </c>
      <c r="F115" s="26" t="s">
        <v>310</v>
      </c>
      <c r="G115" t="s">
        <v>25</v>
      </c>
      <c r="H115" s="14"/>
      <c r="I115" t="s">
        <v>270</v>
      </c>
      <c r="J115" s="14"/>
      <c r="L115" t="s">
        <v>345</v>
      </c>
      <c r="M115" t="s">
        <v>434</v>
      </c>
      <c r="N115" s="14"/>
      <c r="O115" s="14" t="s">
        <v>435</v>
      </c>
      <c r="P115" s="29" t="s">
        <v>285</v>
      </c>
    </row>
    <row r="116" spans="2:16" ht="58" ns3:dyDescent="0.35">
      <c r="B116" s="10" t="s">
        <v>436</v>
      </c>
      <c r="C116" s="24" t="s">
        <v>432</v>
      </c>
      <c r="D116">
        <v>2</v>
      </c>
      <c r="E116" s="25" t="s">
        <v>349</v>
      </c>
      <c r="F116" s="26" t="s">
        <v>350</v>
      </c>
      <c r="G116" t="s">
        <v>25</v>
      </c>
      <c r="H116" s="14"/>
      <c r="I116" t="s">
        <v>295</v>
      </c>
      <c r="J116" s="14"/>
      <c r="L116" t="s">
        <v>345</v>
      </c>
      <c r="M116" t="s">
        <v>437</v>
      </c>
      <c r="N116" s="14"/>
      <c r="O116" s="14" t="s">
        <v>435</v>
      </c>
      <c r="P116" s="23" t="s">
        <v>29</v>
      </c>
    </row>
    <row r="117" spans="2:16" ht="43.5" ns3:dyDescent="0.35">
      <c r="B117" s="10" t="s">
        <v>438</v>
      </c>
      <c r="C117" s="24" t="s">
        <v>439</v>
      </c>
      <c r="D117">
        <v>1</v>
      </c>
      <c r="E117" s="25" t="s">
        <v>440</v>
      </c>
      <c r="F117" s="26" t="s">
        <v>310</v>
      </c>
      <c r="G117" t="s">
        <v>25</v>
      </c>
      <c r="H117" s="14"/>
      <c r="I117" t="s">
        <v>270</v>
      </c>
      <c r="J117" s="14"/>
      <c r="L117" t="s">
        <v>27</v>
      </c>
      <c r="M117" t="s">
        <v>441</v>
      </c>
      <c r="N117" s="14"/>
      <c r="O117" s="14" t="s">
        <v>442</v>
      </c>
      <c r="P117" s="29" t="s">
        <v>285</v>
      </c>
    </row>
    <row r="118" spans="2:16" ht="43.5" ns3:dyDescent="0.35">
      <c r="B118" s="10" t="s">
        <v>443</v>
      </c>
      <c r="C118" s="24" t="s">
        <v>439</v>
      </c>
      <c r="D118">
        <v>2</v>
      </c>
      <c r="E118" s="25" t="s">
        <v>444</v>
      </c>
      <c r="F118" s="26" t="s">
        <v>316</v>
      </c>
      <c r="G118" t="s">
        <v>25</v>
      </c>
      <c r="H118" s="14"/>
      <c r="I118" t="s">
        <v>295</v>
      </c>
      <c r="J118" s="14"/>
      <c r="L118" t="s">
        <v>27</v>
      </c>
      <c r="M118" t="s">
        <v>445</v>
      </c>
      <c r="N118" s="14"/>
      <c r="O118" s="14" t="s">
        <v>442</v>
      </c>
      <c r="P118" s="29" t="s">
        <v>285</v>
      </c>
    </row>
    <row r="119" spans="2:16" ht="43.5" ns3:dyDescent="0.35">
      <c r="B119" s="10" t="s">
        <v>446</v>
      </c>
      <c r="C119" s="24" t="s">
        <v>447</v>
      </c>
      <c r="D119">
        <v>1</v>
      </c>
      <c r="E119" s="25" t="s">
        <v>448</v>
      </c>
      <c r="F119" s="26" t="s">
        <v>310</v>
      </c>
      <c r="G119" t="s">
        <v>25</v>
      </c>
      <c r="H119" s="14"/>
      <c r="I119" t="s">
        <v>270</v>
      </c>
      <c r="J119" s="14"/>
      <c r="L119" t="s">
        <v>27</v>
      </c>
      <c r="M119" t="s">
        <v>449</v>
      </c>
      <c r="N119" s="14"/>
      <c r="O119" s="14" t="s">
        <v>450</v>
      </c>
      <c r="P119" s="29" t="s">
        <v>285</v>
      </c>
    </row>
    <row r="120" spans="2:16" ht="43.5" ns3:dyDescent="0.35">
      <c r="B120" s="10" t="s">
        <v>451</v>
      </c>
      <c r="C120" s="24" t="s">
        <v>447</v>
      </c>
      <c r="D120">
        <v>2</v>
      </c>
      <c r="E120" s="25" t="s">
        <v>452</v>
      </c>
      <c r="F120" s="26" t="s">
        <v>316</v>
      </c>
      <c r="G120" t="s">
        <v>25</v>
      </c>
      <c r="H120" s="14"/>
      <c r="I120" t="s">
        <v>295</v>
      </c>
      <c r="J120" s="14"/>
      <c r="L120" t="s">
        <v>27</v>
      </c>
      <c r="M120" t="s">
        <v>453</v>
      </c>
      <c r="N120" s="14"/>
      <c r="O120" s="14" t="s">
        <v>450</v>
      </c>
      <c r="P120" s="29" t="s">
        <v>285</v>
      </c>
    </row>
    <row r="121" spans="2:16" ht="43.5" ns3:dyDescent="0.35">
      <c r="B121" s="10" t="s">
        <v>454</v>
      </c>
      <c r="C121" s="24" t="s">
        <v>455</v>
      </c>
      <c r="D121">
        <v>1</v>
      </c>
      <c r="E121" s="25" t="s">
        <v>456</v>
      </c>
      <c r="F121" s="26" t="s">
        <v>310</v>
      </c>
      <c r="G121" t="s">
        <v>25</v>
      </c>
      <c r="H121" s="14"/>
      <c r="I121" t="s">
        <v>270</v>
      </c>
      <c r="J121" s="14"/>
      <c r="L121" t="s">
        <v>27</v>
      </c>
      <c r="M121" t="s">
        <v>457</v>
      </c>
      <c r="N121" s="14"/>
      <c r="O121" s="14" t="s">
        <v>458</v>
      </c>
      <c r="P121" s="29" t="s">
        <v>285</v>
      </c>
    </row>
    <row r="122" spans="2:16" ht="43.5" ns3:dyDescent="0.35">
      <c r="B122" s="10" t="s">
        <v>459</v>
      </c>
      <c r="C122" s="24" t="s">
        <v>455</v>
      </c>
      <c r="D122">
        <v>2</v>
      </c>
      <c r="E122" s="25" t="s">
        <v>460</v>
      </c>
      <c r="F122" s="26" t="s">
        <v>316</v>
      </c>
      <c r="G122" t="s">
        <v>25</v>
      </c>
      <c r="H122" s="14"/>
      <c r="I122" t="s">
        <v>295</v>
      </c>
      <c r="J122" s="14"/>
      <c r="L122" t="s">
        <v>27</v>
      </c>
      <c r="M122" t="s">
        <v>461</v>
      </c>
      <c r="N122" s="14"/>
      <c r="O122" s="14" t="s">
        <v>458</v>
      </c>
      <c r="P122" s="29" t="s">
        <v>285</v>
      </c>
    </row>
    <row r="123" spans="2:16" ht="43.5" ns3:dyDescent="0.35">
      <c r="B123" s="10" t="s">
        <v>462</v>
      </c>
      <c r="C123" s="24" t="s">
        <v>463</v>
      </c>
      <c r="D123">
        <v>1</v>
      </c>
      <c r="E123" s="25" t="s">
        <v>464</v>
      </c>
      <c r="F123" s="26" t="s">
        <v>310</v>
      </c>
      <c r="G123" t="s">
        <v>25</v>
      </c>
      <c r="H123" s="14"/>
      <c r="I123" t="s">
        <v>270</v>
      </c>
      <c r="J123" s="14"/>
      <c r="L123" t="s">
        <v>27</v>
      </c>
      <c r="M123" t="s">
        <v>465</v>
      </c>
      <c r="N123" s="14"/>
      <c r="O123" s="14" t="s">
        <v>466</v>
      </c>
      <c r="P123" s="29" t="s">
        <v>285</v>
      </c>
    </row>
    <row r="124" spans="2:16" ht="43.5" ns3:dyDescent="0.35">
      <c r="B124" s="10" t="s">
        <v>467</v>
      </c>
      <c r="C124" s="24" t="s">
        <v>463</v>
      </c>
      <c r="D124">
        <v>2</v>
      </c>
      <c r="E124" s="25" t="s">
        <v>468</v>
      </c>
      <c r="F124" s="26" t="s">
        <v>316</v>
      </c>
      <c r="G124" t="s">
        <v>25</v>
      </c>
      <c r="H124" s="14"/>
      <c r="I124" t="s">
        <v>295</v>
      </c>
      <c r="J124" s="14"/>
      <c r="L124" t="s">
        <v>27</v>
      </c>
      <c r="M124" t="s">
        <v>469</v>
      </c>
      <c r="N124" s="14"/>
      <c r="O124" s="14" t="s">
        <v>466</v>
      </c>
      <c r="P124" s="29" t="s">
        <v>285</v>
      </c>
    </row>
    <row r="125" spans="2:16" ht="43.5" ns3:dyDescent="0.35">
      <c r="B125" s="10" t="s">
        <v>470</v>
      </c>
      <c r="C125" s="24" t="s">
        <v>471</v>
      </c>
      <c r="D125">
        <v>1</v>
      </c>
      <c r="E125" s="25" t="s">
        <v>472</v>
      </c>
      <c r="F125" s="26" t="s">
        <v>310</v>
      </c>
      <c r="G125" t="s">
        <v>25</v>
      </c>
      <c r="H125" s="14"/>
      <c r="I125" t="s">
        <v>270</v>
      </c>
      <c r="J125" s="14"/>
      <c r="L125" t="s">
        <v>27</v>
      </c>
      <c r="M125" t="s">
        <v>473</v>
      </c>
      <c r="N125" s="14"/>
      <c r="O125" s="14" t="s">
        <v>474</v>
      </c>
      <c r="P125" s="23" t="s">
        <v>29</v>
      </c>
    </row>
    <row r="126" spans="2:16" ht="43.5" ns3:dyDescent="0.35">
      <c r="B126" s="10" t="s">
        <v>475</v>
      </c>
      <c r="C126" s="24" t="s">
        <v>471</v>
      </c>
      <c r="D126">
        <v>2</v>
      </c>
      <c r="E126" s="25" t="s">
        <v>476</v>
      </c>
      <c r="F126" s="26" t="s">
        <v>316</v>
      </c>
      <c r="G126" t="s">
        <v>25</v>
      </c>
      <c r="H126" s="14"/>
      <c r="I126" t="s">
        <v>295</v>
      </c>
      <c r="J126" s="14"/>
      <c r="L126" t="s">
        <v>27</v>
      </c>
      <c r="M126" t="s">
        <v>477</v>
      </c>
      <c r="N126" s="14"/>
      <c r="O126" s="14" t="s">
        <v>474</v>
      </c>
      <c r="P126" s="23" t="s">
        <v>29</v>
      </c>
    </row>
    <row r="127" spans="2:16" ht="43.5" ns3:dyDescent="0.35">
      <c r="B127" s="10" t="s">
        <v>478</v>
      </c>
      <c r="C127" s="24" t="s">
        <v>479</v>
      </c>
      <c r="D127">
        <v>1</v>
      </c>
      <c r="E127" s="25" t="s">
        <v>480</v>
      </c>
      <c r="F127" s="26" t="s">
        <v>310</v>
      </c>
      <c r="G127" t="s">
        <v>25</v>
      </c>
      <c r="H127" s="14"/>
      <c r="I127" t="s">
        <v>270</v>
      </c>
      <c r="J127" s="14"/>
      <c r="L127" t="s">
        <v>27</v>
      </c>
      <c r="M127" t="s">
        <v>481</v>
      </c>
      <c r="N127" s="14"/>
      <c r="O127" s="14" t="s">
        <v>482</v>
      </c>
      <c r="P127" s="29" t="s">
        <v>285</v>
      </c>
    </row>
    <row r="128" spans="2:16" ht="43.5" ns3:dyDescent="0.35">
      <c r="B128" s="10" t="s">
        <v>483</v>
      </c>
      <c r="C128" s="24" t="s">
        <v>479</v>
      </c>
      <c r="D128">
        <v>2</v>
      </c>
      <c r="E128" s="25" t="s">
        <v>484</v>
      </c>
      <c r="F128" s="26" t="s">
        <v>316</v>
      </c>
      <c r="G128" t="s">
        <v>25</v>
      </c>
      <c r="H128" s="14"/>
      <c r="I128" t="s">
        <v>295</v>
      </c>
      <c r="J128" s="14"/>
      <c r="L128" t="s">
        <v>27</v>
      </c>
      <c r="M128" t="s">
        <v>485</v>
      </c>
      <c r="N128" s="14"/>
      <c r="O128" s="14" t="s">
        <v>482</v>
      </c>
      <c r="P128" s="29" t="s">
        <v>285</v>
      </c>
    </row>
    <row r="129" spans="2:16" ht="43.5" ns3:dyDescent="0.35">
      <c r="B129" s="10" t="s">
        <v>486</v>
      </c>
      <c r="C129" s="24" t="s">
        <v>487</v>
      </c>
      <c r="D129">
        <v>1</v>
      </c>
      <c r="E129" s="25" t="s">
        <v>488</v>
      </c>
      <c r="F129" s="26" t="s">
        <v>310</v>
      </c>
      <c r="G129" t="s">
        <v>25</v>
      </c>
      <c r="H129" s="14"/>
      <c r="I129" t="s">
        <v>270</v>
      </c>
      <c r="J129" s="14"/>
      <c r="L129" t="s">
        <v>27</v>
      </c>
      <c r="M129" t="s">
        <v>489</v>
      </c>
      <c r="N129" s="14"/>
      <c r="O129" s="14" t="s">
        <v>490</v>
      </c>
      <c r="P129" s="29" t="s">
        <v>285</v>
      </c>
    </row>
    <row r="130" spans="2:16" ht="43.5" ns3:dyDescent="0.35">
      <c r="B130" s="10" t="s">
        <v>491</v>
      </c>
      <c r="C130" s="24" t="s">
        <v>487</v>
      </c>
      <c r="D130">
        <v>2</v>
      </c>
      <c r="E130" s="25" t="s">
        <v>492</v>
      </c>
      <c r="F130" s="26" t="s">
        <v>316</v>
      </c>
      <c r="G130" t="s">
        <v>25</v>
      </c>
      <c r="H130" s="14"/>
      <c r="I130" t="s">
        <v>295</v>
      </c>
      <c r="J130" s="14"/>
      <c r="L130" t="s">
        <v>27</v>
      </c>
      <c r="M130" t="s">
        <v>493</v>
      </c>
      <c r="N130" s="14"/>
      <c r="O130" s="14" t="s">
        <v>490</v>
      </c>
      <c r="P130" s="29" t="s">
        <v>285</v>
      </c>
    </row>
    <row r="131" spans="2:16" ht="43.5" ns3:dyDescent="0.35">
      <c r="B131" s="10" t="s">
        <v>494</v>
      </c>
      <c r="C131" s="24" t="s">
        <v>495</v>
      </c>
      <c r="D131">
        <v>1</v>
      </c>
      <c r="E131" s="25" t="s">
        <v>496</v>
      </c>
      <c r="F131" s="26" t="s">
        <v>310</v>
      </c>
      <c r="G131" t="s">
        <v>25</v>
      </c>
      <c r="H131" s="14"/>
      <c r="I131" t="s">
        <v>270</v>
      </c>
      <c r="J131" s="14"/>
      <c r="L131" t="s">
        <v>27</v>
      </c>
      <c r="M131" t="s">
        <v>497</v>
      </c>
      <c r="N131" s="14"/>
      <c r="O131" s="14" t="s">
        <v>498</v>
      </c>
      <c r="P131" s="23" t="s">
        <v>29</v>
      </c>
    </row>
    <row r="132" spans="2:16" ht="43.5" ns3:dyDescent="0.35">
      <c r="B132" s="10" t="s">
        <v>499</v>
      </c>
      <c r="C132" s="24" t="s">
        <v>495</v>
      </c>
      <c r="D132">
        <v>2</v>
      </c>
      <c r="E132" s="25" t="s">
        <v>500</v>
      </c>
      <c r="F132" s="26" t="s">
        <v>316</v>
      </c>
      <c r="G132" t="s">
        <v>25</v>
      </c>
      <c r="H132" s="14"/>
      <c r="I132" t="s">
        <v>295</v>
      </c>
      <c r="J132" s="14"/>
      <c r="L132" t="s">
        <v>27</v>
      </c>
      <c r="M132" t="s">
        <v>501</v>
      </c>
      <c r="N132" s="14"/>
      <c r="O132" s="14" t="s">
        <v>498</v>
      </c>
      <c r="P132" s="23" t="s">
        <v>29</v>
      </c>
    </row>
    <row r="133" spans="2:16" ht="43.5" ns3:dyDescent="0.35">
      <c r="B133" s="10" t="s">
        <v>502</v>
      </c>
      <c r="C133" s="24" t="s">
        <v>503</v>
      </c>
      <c r="D133">
        <v>1</v>
      </c>
      <c r="E133" s="25" t="s">
        <v>504</v>
      </c>
      <c r="F133" s="26" t="s">
        <v>310</v>
      </c>
      <c r="G133" t="s">
        <v>25</v>
      </c>
      <c r="H133" s="14"/>
      <c r="I133" t="s">
        <v>270</v>
      </c>
      <c r="J133" s="14"/>
      <c r="L133" t="s">
        <v>27</v>
      </c>
      <c r="M133" t="s">
        <v>505</v>
      </c>
      <c r="N133" s="14"/>
      <c r="O133" s="14" t="s">
        <v>506</v>
      </c>
      <c r="P133" s="23" t="s">
        <v>29</v>
      </c>
    </row>
    <row r="134" spans="2:16" ht="43.5" ns3:dyDescent="0.35">
      <c r="B134" s="10" t="s">
        <v>507</v>
      </c>
      <c r="C134" s="24" t="s">
        <v>503</v>
      </c>
      <c r="D134">
        <v>2</v>
      </c>
      <c r="E134" s="25" t="s">
        <v>508</v>
      </c>
      <c r="F134" s="26" t="s">
        <v>316</v>
      </c>
      <c r="G134" t="s">
        <v>25</v>
      </c>
      <c r="H134" s="14"/>
      <c r="I134" t="s">
        <v>295</v>
      </c>
      <c r="J134" s="14"/>
      <c r="L134" t="s">
        <v>27</v>
      </c>
      <c r="M134" t="s">
        <v>509</v>
      </c>
      <c r="N134" s="14"/>
      <c r="O134" s="14" t="s">
        <v>506</v>
      </c>
      <c r="P134" s="23" t="s">
        <v>29</v>
      </c>
    </row>
    <row r="135" spans="2:16" ht="43.5" ns3:dyDescent="0.35">
      <c r="B135" s="10" t="s">
        <v>510</v>
      </c>
      <c r="C135" s="24" t="s">
        <v>511</v>
      </c>
      <c r="D135">
        <v>1</v>
      </c>
      <c r="E135" s="25" t="s">
        <v>512</v>
      </c>
      <c r="F135" s="26" t="s">
        <v>310</v>
      </c>
      <c r="G135" t="s">
        <v>25</v>
      </c>
      <c r="H135" s="14"/>
      <c r="I135" t="s">
        <v>270</v>
      </c>
      <c r="J135" s="14"/>
      <c r="L135" t="s">
        <v>27</v>
      </c>
      <c r="M135" t="s">
        <v>513</v>
      </c>
      <c r="N135" s="14"/>
      <c r="O135" s="14" t="s">
        <v>514</v>
      </c>
      <c r="P135" s="29" t="s">
        <v>285</v>
      </c>
    </row>
    <row r="136" spans="2:16" ht="43.5" ns3:dyDescent="0.35">
      <c r="B136" s="10" t="s">
        <v>515</v>
      </c>
      <c r="C136" s="24" t="s">
        <v>511</v>
      </c>
      <c r="D136">
        <v>2</v>
      </c>
      <c r="E136" s="25" t="s">
        <v>516</v>
      </c>
      <c r="F136" s="26" t="s">
        <v>316</v>
      </c>
      <c r="G136" t="s">
        <v>25</v>
      </c>
      <c r="H136" s="14"/>
      <c r="I136" t="s">
        <v>295</v>
      </c>
      <c r="J136" s="14"/>
      <c r="L136" t="s">
        <v>27</v>
      </c>
      <c r="M136" t="s">
        <v>517</v>
      </c>
      <c r="N136" s="14"/>
      <c r="O136" s="14" t="s">
        <v>514</v>
      </c>
      <c r="P136" s="29" t="s">
        <v>285</v>
      </c>
    </row>
    <row r="137" spans="2:16" ht="43.5" ns3:dyDescent="0.35">
      <c r="B137" s="10" t="s">
        <v>518</v>
      </c>
      <c r="C137" s="24" t="s">
        <v>519</v>
      </c>
      <c r="D137">
        <v>1</v>
      </c>
      <c r="E137" s="25" t="s">
        <v>520</v>
      </c>
      <c r="F137" s="26" t="s">
        <v>310</v>
      </c>
      <c r="G137" t="s">
        <v>25</v>
      </c>
      <c r="H137" s="14"/>
      <c r="I137" t="s">
        <v>270</v>
      </c>
      <c r="J137" s="14"/>
      <c r="L137" t="s">
        <v>27</v>
      </c>
      <c r="M137" t="s">
        <v>521</v>
      </c>
      <c r="N137" s="14"/>
      <c r="O137" s="14" t="s">
        <v>522</v>
      </c>
      <c r="P137" s="29" t="s">
        <v>285</v>
      </c>
    </row>
    <row r="138" spans="2:16" ht="43.5" ns3:dyDescent="0.35">
      <c r="B138" s="10" t="s">
        <v>523</v>
      </c>
      <c r="C138" s="24" t="s">
        <v>519</v>
      </c>
      <c r="D138">
        <v>2</v>
      </c>
      <c r="E138" s="25" t="s">
        <v>524</v>
      </c>
      <c r="F138" s="26" t="s">
        <v>316</v>
      </c>
      <c r="G138" t="s">
        <v>25</v>
      </c>
      <c r="H138" s="14"/>
      <c r="I138" t="s">
        <v>295</v>
      </c>
      <c r="J138" s="14"/>
      <c r="L138" t="s">
        <v>27</v>
      </c>
      <c r="M138" t="s">
        <v>525</v>
      </c>
      <c r="N138" s="14"/>
      <c r="O138" s="14" t="s">
        <v>522</v>
      </c>
      <c r="P138" s="29" t="s">
        <v>285</v>
      </c>
    </row>
    <row r="139" spans="2:16" ht="43.5" ns3:dyDescent="0.35">
      <c r="B139" s="10" t="s">
        <v>526</v>
      </c>
      <c r="C139" s="24" t="s">
        <v>463</v>
      </c>
      <c r="D139">
        <v>1</v>
      </c>
      <c r="E139" s="25" t="s">
        <v>464</v>
      </c>
      <c r="F139" s="26" t="s">
        <v>310</v>
      </c>
      <c r="G139" t="s">
        <v>25</v>
      </c>
      <c r="H139" s="14"/>
      <c r="I139" t="s">
        <v>270</v>
      </c>
      <c r="J139" s="14"/>
      <c r="L139" t="s">
        <v>27</v>
      </c>
      <c r="M139" t="s">
        <v>527</v>
      </c>
      <c r="N139" s="14"/>
      <c r="O139" s="14" t="s">
        <v>528</v>
      </c>
      <c r="P139" s="29" t="s">
        <v>285</v>
      </c>
    </row>
    <row r="140" spans="2:16" ht="43.5" ns3:dyDescent="0.35">
      <c r="B140" s="10" t="s">
        <v>529</v>
      </c>
      <c r="C140" s="24" t="s">
        <v>463</v>
      </c>
      <c r="D140">
        <v>2</v>
      </c>
      <c r="E140" s="25" t="s">
        <v>468</v>
      </c>
      <c r="F140" s="26" t="s">
        <v>316</v>
      </c>
      <c r="G140" t="s">
        <v>25</v>
      </c>
      <c r="H140" s="14"/>
      <c r="I140" t="s">
        <v>295</v>
      </c>
      <c r="J140" s="14"/>
      <c r="L140" t="s">
        <v>27</v>
      </c>
      <c r="M140" t="s">
        <v>530</v>
      </c>
      <c r="N140" s="14"/>
      <c r="O140" s="14" t="s">
        <v>528</v>
      </c>
      <c r="P140" s="29" t="s">
        <v>285</v>
      </c>
    </row>
    <row r="141" spans="2:16" ht="43.5" ns3:dyDescent="0.35">
      <c r="B141" s="10" t="s">
        <v>531</v>
      </c>
      <c r="C141" s="24" t="s">
        <v>532</v>
      </c>
      <c r="D141">
        <v>1</v>
      </c>
      <c r="E141" s="25" t="s">
        <v>533</v>
      </c>
      <c r="F141" s="26" t="s">
        <v>310</v>
      </c>
      <c r="G141" t="s">
        <v>25</v>
      </c>
      <c r="H141" s="14"/>
      <c r="I141" t="s">
        <v>270</v>
      </c>
      <c r="J141" s="14"/>
      <c r="L141" t="s">
        <v>27</v>
      </c>
      <c r="M141" t="s">
        <v>534</v>
      </c>
      <c r="N141" s="14"/>
      <c r="O141" s="14" t="s">
        <v>535</v>
      </c>
      <c r="P141" s="23" t="s">
        <v>29</v>
      </c>
    </row>
    <row r="142" spans="2:16" ht="43.5" ns3:dyDescent="0.35">
      <c r="B142" s="10" t="s">
        <v>536</v>
      </c>
      <c r="C142" s="24" t="s">
        <v>532</v>
      </c>
      <c r="D142">
        <v>2</v>
      </c>
      <c r="E142" s="25" t="s">
        <v>537</v>
      </c>
      <c r="F142" s="26" t="s">
        <v>316</v>
      </c>
      <c r="G142" t="s">
        <v>25</v>
      </c>
      <c r="H142" s="14"/>
      <c r="I142" t="s">
        <v>295</v>
      </c>
      <c r="J142" s="14"/>
      <c r="L142" t="s">
        <v>27</v>
      </c>
      <c r="M142" t="s">
        <v>538</v>
      </c>
      <c r="N142" s="14"/>
      <c r="O142" s="14" t="s">
        <v>535</v>
      </c>
      <c r="P142" s="23" t="s">
        <v>29</v>
      </c>
    </row>
    <row r="143" spans="2:16" ht="43.5" ns3:dyDescent="0.35">
      <c r="B143" s="10" t="s">
        <v>539</v>
      </c>
      <c r="C143" s="24" t="s">
        <v>540</v>
      </c>
      <c r="D143">
        <v>1</v>
      </c>
      <c r="E143" s="25" t="s">
        <v>541</v>
      </c>
      <c r="F143" s="26" t="s">
        <v>310</v>
      </c>
      <c r="G143" t="s">
        <v>25</v>
      </c>
      <c r="H143" s="14"/>
      <c r="I143" t="s">
        <v>270</v>
      </c>
      <c r="J143" s="14"/>
      <c r="L143" t="s">
        <v>27</v>
      </c>
      <c r="M143" t="s">
        <v>542</v>
      </c>
      <c r="N143" s="14"/>
      <c r="O143" s="14" t="s">
        <v>543</v>
      </c>
      <c r="P143" s="29" t="s">
        <v>285</v>
      </c>
    </row>
    <row r="144" spans="2:16" ht="43.5" ns3:dyDescent="0.35">
      <c r="B144" s="10" t="s">
        <v>544</v>
      </c>
      <c r="C144" s="24" t="s">
        <v>540</v>
      </c>
      <c r="D144">
        <v>2</v>
      </c>
      <c r="E144" s="25" t="s">
        <v>545</v>
      </c>
      <c r="F144" s="26" t="s">
        <v>316</v>
      </c>
      <c r="G144" t="s">
        <v>25</v>
      </c>
      <c r="H144" s="14"/>
      <c r="I144" t="s">
        <v>295</v>
      </c>
      <c r="J144" s="14"/>
      <c r="L144" t="s">
        <v>27</v>
      </c>
      <c r="M144" t="s">
        <v>546</v>
      </c>
      <c r="N144" s="14"/>
      <c r="O144" s="14" t="s">
        <v>543</v>
      </c>
      <c r="P144" s="29" t="s">
        <v>285</v>
      </c>
    </row>
    <row r="145" spans="1:16" ht="43.5" ns3:dyDescent="0.35">
      <c r="B145" s="10" t="s">
        <v>547</v>
      </c>
      <c r="C145" s="24" t="s">
        <v>548</v>
      </c>
      <c r="D145">
        <v>1</v>
      </c>
      <c r="E145" s="25" t="s">
        <v>549</v>
      </c>
      <c r="F145" s="26" t="s">
        <v>310</v>
      </c>
      <c r="G145" t="s">
        <v>25</v>
      </c>
      <c r="H145" s="14"/>
      <c r="I145" t="s">
        <v>270</v>
      </c>
      <c r="J145" s="14"/>
      <c r="L145" t="s">
        <v>27</v>
      </c>
      <c r="M145" t="s">
        <v>550</v>
      </c>
      <c r="N145" s="14"/>
      <c r="O145" s="14" t="s">
        <v>551</v>
      </c>
      <c r="P145" s="29" t="s">
        <v>285</v>
      </c>
    </row>
    <row r="146" spans="1:16" ht="43.5" ns3:dyDescent="0.35">
      <c r="B146" s="10" t="s">
        <v>552</v>
      </c>
      <c r="C146" s="24" t="s">
        <v>548</v>
      </c>
      <c r="D146">
        <v>2</v>
      </c>
      <c r="E146" s="25" t="s">
        <v>553</v>
      </c>
      <c r="F146" s="26" t="s">
        <v>554</v>
      </c>
      <c r="G146" t="s">
        <v>25</v>
      </c>
      <c r="H146" s="14"/>
      <c r="I146" t="s">
        <v>295</v>
      </c>
      <c r="J146" s="14"/>
      <c r="L146" t="s">
        <v>27</v>
      </c>
      <c r="M146" t="s">
        <v>555</v>
      </c>
      <c r="N146" s="14"/>
      <c r="O146" s="14" t="s">
        <v>551</v>
      </c>
      <c r="P146" s="23" t="s">
        <v>29</v>
      </c>
    </row>
    <row r="147" spans="1:16" ht="32" ns3:dyDescent="0.35">
      <c r="A147" s="19" t="s">
        <v>556</v>
      </c>
      <c r="E147" s="14"/>
      <c r="F147" s="14"/>
      <c r="H147" s="14"/>
      <c r="J147" s="14"/>
      <c r="N147" s="14"/>
      <c r="O147" s="14"/>
    </row>
    <row r="148" spans="1:16" ht="43.5" ns3:dyDescent="0.35">
      <c r="B148" s="10" t="s">
        <v>557</v>
      </c>
      <c r="C148" s="24" t="s">
        <v>558</v>
      </c>
      <c r="D148">
        <v>1</v>
      </c>
      <c r="E148" s="25" t="s">
        <v>559</v>
      </c>
      <c r="F148" s="26" t="s">
        <v>560</v>
      </c>
      <c r="G148" t="s">
        <v>25</v>
      </c>
      <c r="H148" s="14"/>
      <c r="I148" t="s">
        <v>295</v>
      </c>
      <c r="J148" s="14"/>
      <c r="L148" t="s">
        <v>311</v>
      </c>
      <c r="M148" t="s">
        <v>561</v>
      </c>
      <c r="N148" s="14"/>
      <c r="O148" s="14" t="s">
        <v>562</v>
      </c>
      <c r="P148" s="29" t="s">
        <v>285</v>
      </c>
    </row>
    <row r="149" spans="1:16" ht="43.5" ns3:dyDescent="0.35">
      <c r="B149" s="10" t="s">
        <v>563</v>
      </c>
      <c r="C149" s="24" t="s">
        <v>564</v>
      </c>
      <c r="D149">
        <v>1</v>
      </c>
      <c r="E149" s="25" t="s">
        <v>565</v>
      </c>
      <c r="F149" s="26" t="s">
        <v>560</v>
      </c>
      <c r="G149" t="s">
        <v>25</v>
      </c>
      <c r="H149" s="14"/>
      <c r="I149" t="s">
        <v>295</v>
      </c>
      <c r="J149" s="14"/>
      <c r="L149" t="s">
        <v>311</v>
      </c>
      <c r="M149" t="s">
        <v>566</v>
      </c>
      <c r="N149" s="14"/>
      <c r="O149" s="14" t="s">
        <v>567</v>
      </c>
      <c r="P149" s="29" t="s">
        <v>285</v>
      </c>
    </row>
    <row r="150" spans="1:16" ht="43.5" ns3:dyDescent="0.35">
      <c r="B150" s="10" t="s">
        <v>568</v>
      </c>
      <c r="C150" s="24" t="s">
        <v>569</v>
      </c>
      <c r="D150">
        <v>1</v>
      </c>
      <c r="E150" s="25" t="s">
        <v>570</v>
      </c>
      <c r="F150" s="26" t="s">
        <v>560</v>
      </c>
      <c r="G150" t="s">
        <v>25</v>
      </c>
      <c r="H150" s="14"/>
      <c r="I150" t="s">
        <v>295</v>
      </c>
      <c r="J150" s="14"/>
      <c r="L150" t="s">
        <v>27</v>
      </c>
      <c r="M150" t="s">
        <v>571</v>
      </c>
      <c r="N150" s="14"/>
      <c r="O150" s="14" t="s">
        <v>572</v>
      </c>
      <c r="P150" s="29" t="s">
        <v>285</v>
      </c>
    </row>
    <row r="151" spans="1:16" ht="43.5" ns3:dyDescent="0.35">
      <c r="B151" s="10" t="s">
        <v>573</v>
      </c>
      <c r="C151" s="24" t="s">
        <v>574</v>
      </c>
      <c r="D151">
        <v>1</v>
      </c>
      <c r="E151" s="25" t="s">
        <v>575</v>
      </c>
      <c r="F151" s="26" t="s">
        <v>560</v>
      </c>
      <c r="G151" t="s">
        <v>25</v>
      </c>
      <c r="H151" s="14"/>
      <c r="I151" t="s">
        <v>295</v>
      </c>
      <c r="J151" s="14"/>
      <c r="L151" t="s">
        <v>27</v>
      </c>
      <c r="M151" t="s">
        <v>576</v>
      </c>
      <c r="N151" s="14"/>
      <c r="O151" s="14" t="s">
        <v>577</v>
      </c>
      <c r="P151" s="29" t="s">
        <v>285</v>
      </c>
    </row>
    <row r="152" spans="1:16" ht="72.5" ns3:dyDescent="0.35">
      <c r="B152" s="10" t="s">
        <v>578</v>
      </c>
      <c r="C152" s="24" t="s">
        <v>579</v>
      </c>
      <c r="D152">
        <v>1</v>
      </c>
      <c r="E152" s="25" t="s">
        <v>580</v>
      </c>
      <c r="F152" s="26" t="s">
        <v>560</v>
      </c>
      <c r="G152" t="s">
        <v>25</v>
      </c>
      <c r="H152" s="14"/>
      <c r="I152" t="s">
        <v>295</v>
      </c>
      <c r="J152" s="14"/>
      <c r="L152" t="s">
        <v>27</v>
      </c>
      <c r="M152" t="s">
        <v>581</v>
      </c>
      <c r="N152" s="14"/>
      <c r="O152" s="14" t="s">
        <v>582</v>
      </c>
      <c r="P152" s="29" t="s">
        <v>285</v>
      </c>
    </row>
    <row r="153" spans="1:16" ht="43.5" ns3:dyDescent="0.35">
      <c r="B153" s="10" t="s">
        <v>583</v>
      </c>
      <c r="C153" s="24" t="s">
        <v>584</v>
      </c>
      <c r="D153">
        <v>1</v>
      </c>
      <c r="E153" s="25" t="s">
        <v>585</v>
      </c>
      <c r="F153" s="26" t="s">
        <v>560</v>
      </c>
      <c r="G153" t="s">
        <v>25</v>
      </c>
      <c r="H153" s="14"/>
      <c r="I153" t="s">
        <v>295</v>
      </c>
      <c r="J153" s="14"/>
      <c r="L153" t="s">
        <v>27</v>
      </c>
      <c r="M153" t="s">
        <v>586</v>
      </c>
      <c r="N153" s="14"/>
      <c r="O153" s="14" t="s">
        <v>587</v>
      </c>
      <c r="P153" s="29" t="s">
        <v>285</v>
      </c>
    </row>
    <row r="154" spans="1:16" ht="43.5" ns3:dyDescent="0.35">
      <c r="B154" s="10" t="s">
        <v>588</v>
      </c>
      <c r="C154" s="24" t="s">
        <v>589</v>
      </c>
      <c r="D154">
        <v>1</v>
      </c>
      <c r="E154" s="25" t="s">
        <v>590</v>
      </c>
      <c r="F154" s="26" t="s">
        <v>560</v>
      </c>
      <c r="G154" t="s">
        <v>25</v>
      </c>
      <c r="H154" s="14"/>
      <c r="I154" t="s">
        <v>295</v>
      </c>
      <c r="J154" s="14"/>
      <c r="L154" t="s">
        <v>27</v>
      </c>
      <c r="M154" t="s">
        <v>591</v>
      </c>
      <c r="N154" s="14"/>
      <c r="O154" s="14" t="s">
        <v>592</v>
      </c>
      <c r="P154" s="29" t="s">
        <v>285</v>
      </c>
    </row>
    <row r="155" spans="1:16" ht="43.5" ns3:dyDescent="0.35">
      <c r="B155" s="10" t="s">
        <v>593</v>
      </c>
      <c r="C155" s="24" t="s">
        <v>594</v>
      </c>
      <c r="D155">
        <v>1</v>
      </c>
      <c r="E155" s="25" t="s">
        <v>595</v>
      </c>
      <c r="F155" s="26" t="s">
        <v>560</v>
      </c>
      <c r="G155" t="s">
        <v>25</v>
      </c>
      <c r="H155" s="14"/>
      <c r="I155" t="s">
        <v>295</v>
      </c>
      <c r="J155" s="14"/>
      <c r="L155" t="s">
        <v>27</v>
      </c>
      <c r="M155" t="s">
        <v>596</v>
      </c>
      <c r="N155" s="14"/>
      <c r="O155" s="14" t="s">
        <v>597</v>
      </c>
      <c r="P155" s="29" t="s">
        <v>285</v>
      </c>
    </row>
    <row r="156" spans="1:16" ht="43.5" ns3:dyDescent="0.35">
      <c r="B156" s="10" t="s">
        <v>598</v>
      </c>
      <c r="C156" s="24" t="s">
        <v>599</v>
      </c>
      <c r="D156">
        <v>1</v>
      </c>
      <c r="E156" s="25" t="s">
        <v>600</v>
      </c>
      <c r="F156" s="26" t="s">
        <v>560</v>
      </c>
      <c r="G156" t="s">
        <v>25</v>
      </c>
      <c r="H156" s="14"/>
      <c r="I156" t="s">
        <v>295</v>
      </c>
      <c r="J156" s="14"/>
      <c r="L156" t="s">
        <v>27</v>
      </c>
      <c r="M156" t="s">
        <v>601</v>
      </c>
      <c r="N156" s="14"/>
      <c r="O156" s="14" t="s">
        <v>602</v>
      </c>
      <c r="P156" s="29" t="s">
        <v>285</v>
      </c>
    </row>
    <row r="157" spans="1:16" ht="58" ns3:dyDescent="0.35">
      <c r="B157" s="10" t="s">
        <v>603</v>
      </c>
      <c r="C157" s="24" t="s">
        <v>604</v>
      </c>
      <c r="D157">
        <v>1</v>
      </c>
      <c r="E157" s="25" t="s">
        <v>605</v>
      </c>
      <c r="F157" s="26" t="s">
        <v>560</v>
      </c>
      <c r="G157" t="s">
        <v>25</v>
      </c>
      <c r="H157" s="14"/>
      <c r="I157" t="s">
        <v>295</v>
      </c>
      <c r="J157" s="14"/>
      <c r="L157" t="s">
        <v>27</v>
      </c>
      <c r="M157" t="s">
        <v>606</v>
      </c>
      <c r="N157" s="14"/>
      <c r="O157" s="14" t="s">
        <v>607</v>
      </c>
      <c r="P157" s="29" t="s">
        <v>285</v>
      </c>
    </row>
    <row r="158" spans="1:16" ht="43.5" ns3:dyDescent="0.35">
      <c r="B158" s="10" t="s">
        <v>608</v>
      </c>
      <c r="C158" s="24" t="s">
        <v>609</v>
      </c>
      <c r="D158">
        <v>1</v>
      </c>
      <c r="E158" s="25" t="s">
        <v>610</v>
      </c>
      <c r="F158" s="26" t="s">
        <v>560</v>
      </c>
      <c r="G158" t="s">
        <v>25</v>
      </c>
      <c r="H158" s="14"/>
      <c r="I158" t="s">
        <v>295</v>
      </c>
      <c r="J158" s="14"/>
      <c r="L158" t="s">
        <v>27</v>
      </c>
      <c r="M158" t="s">
        <v>611</v>
      </c>
      <c r="N158" s="14"/>
      <c r="O158" s="14" t="s">
        <v>612</v>
      </c>
      <c r="P158" s="29" t="s">
        <v>285</v>
      </c>
    </row>
    <row r="159" spans="1:16" ht="43.5" ns3:dyDescent="0.35">
      <c r="B159" s="10" t="s">
        <v>613</v>
      </c>
      <c r="C159" s="24" t="s">
        <v>614</v>
      </c>
      <c r="D159">
        <v>1</v>
      </c>
      <c r="E159" s="25" t="s">
        <v>615</v>
      </c>
      <c r="F159" s="26" t="s">
        <v>560</v>
      </c>
      <c r="G159" t="s">
        <v>25</v>
      </c>
      <c r="H159" s="14"/>
      <c r="I159" t="s">
        <v>295</v>
      </c>
      <c r="J159" s="14"/>
      <c r="L159" t="s">
        <v>27</v>
      </c>
      <c r="M159" t="s">
        <v>616</v>
      </c>
      <c r="N159" s="14"/>
      <c r="O159" s="14" t="s">
        <v>617</v>
      </c>
      <c r="P159" s="29" t="s">
        <v>285</v>
      </c>
    </row>
    <row r="160" spans="1:16" ht="43.5" ns3:dyDescent="0.35">
      <c r="B160" s="10" t="s">
        <v>618</v>
      </c>
      <c r="C160" s="24" t="s">
        <v>619</v>
      </c>
      <c r="D160">
        <v>1</v>
      </c>
      <c r="E160" s="25" t="s">
        <v>620</v>
      </c>
      <c r="F160" s="26" t="s">
        <v>560</v>
      </c>
      <c r="G160" t="s">
        <v>25</v>
      </c>
      <c r="H160" s="14"/>
      <c r="I160" t="s">
        <v>295</v>
      </c>
      <c r="J160" s="14"/>
      <c r="L160" t="s">
        <v>27</v>
      </c>
      <c r="M160" t="s">
        <v>621</v>
      </c>
      <c r="N160" s="14"/>
      <c r="O160" s="14" t="s">
        <v>622</v>
      </c>
      <c r="P160" s="29" t="s">
        <v>285</v>
      </c>
    </row>
    <row r="161" spans="2:16" ht="43.5" ns3:dyDescent="0.35">
      <c r="B161" s="10" t="s">
        <v>623</v>
      </c>
      <c r="C161" s="24" t="s">
        <v>624</v>
      </c>
      <c r="D161">
        <v>1</v>
      </c>
      <c r="E161" s="25" t="s">
        <v>625</v>
      </c>
      <c r="F161" s="26" t="s">
        <v>560</v>
      </c>
      <c r="G161" t="s">
        <v>25</v>
      </c>
      <c r="H161" s="14"/>
      <c r="I161" t="s">
        <v>295</v>
      </c>
      <c r="J161" s="14"/>
      <c r="L161" t="s">
        <v>27</v>
      </c>
      <c r="M161" t="s">
        <v>626</v>
      </c>
      <c r="N161" s="14"/>
      <c r="O161" s="14" t="s">
        <v>627</v>
      </c>
      <c r="P161" s="29" t="s">
        <v>285</v>
      </c>
    </row>
    <row r="162" spans="2:16" ht="43.5" ns3:dyDescent="0.35">
      <c r="B162" s="10" t="s">
        <v>628</v>
      </c>
      <c r="C162" s="24" t="s">
        <v>629</v>
      </c>
      <c r="D162">
        <v>1</v>
      </c>
      <c r="E162" s="25" t="s">
        <v>630</v>
      </c>
      <c r="F162" s="26" t="s">
        <v>560</v>
      </c>
      <c r="G162" t="s">
        <v>25</v>
      </c>
      <c r="H162" s="14"/>
      <c r="I162" t="s">
        <v>295</v>
      </c>
      <c r="J162" s="14"/>
      <c r="L162" t="s">
        <v>27</v>
      </c>
      <c r="M162" t="s">
        <v>631</v>
      </c>
      <c r="N162" s="14"/>
      <c r="O162" s="14" t="s">
        <v>632</v>
      </c>
      <c r="P162" s="29" t="s">
        <v>285</v>
      </c>
    </row>
    <row r="163" spans="2:16" ht="43.5" ns3:dyDescent="0.35">
      <c r="B163" s="10" t="s">
        <v>633</v>
      </c>
      <c r="C163" s="24" t="s">
        <v>634</v>
      </c>
      <c r="D163">
        <v>1</v>
      </c>
      <c r="E163" s="25" t="s">
        <v>635</v>
      </c>
      <c r="F163" s="26" t="s">
        <v>560</v>
      </c>
      <c r="G163" t="s">
        <v>25</v>
      </c>
      <c r="H163" s="14"/>
      <c r="I163" t="s">
        <v>295</v>
      </c>
      <c r="J163" s="14"/>
      <c r="L163" t="s">
        <v>27</v>
      </c>
      <c r="M163" t="s">
        <v>636</v>
      </c>
      <c r="N163" s="14"/>
      <c r="O163" s="14" t="s">
        <v>637</v>
      </c>
      <c r="P163" s="29" t="s">
        <v>285</v>
      </c>
    </row>
    <row r="164" spans="2:16" ht="43.5" ns3:dyDescent="0.35">
      <c r="B164" s="10" t="s">
        <v>638</v>
      </c>
      <c r="C164" s="24" t="s">
        <v>639</v>
      </c>
      <c r="D164">
        <v>1</v>
      </c>
      <c r="E164" s="25" t="s">
        <v>640</v>
      </c>
      <c r="F164" s="26" t="s">
        <v>560</v>
      </c>
      <c r="G164" t="s">
        <v>25</v>
      </c>
      <c r="H164" s="14"/>
      <c r="I164" t="s">
        <v>295</v>
      </c>
      <c r="J164" s="14"/>
      <c r="L164" t="s">
        <v>27</v>
      </c>
      <c r="M164" t="s">
        <v>641</v>
      </c>
      <c r="N164" s="14"/>
      <c r="O164" s="14" t="s">
        <v>642</v>
      </c>
      <c r="P164" s="29" t="s">
        <v>285</v>
      </c>
    </row>
    <row r="165" spans="2:16" ht="43.5" ns3:dyDescent="0.35">
      <c r="B165" s="10" t="s">
        <v>643</v>
      </c>
      <c r="C165" s="24" t="s">
        <v>644</v>
      </c>
      <c r="D165">
        <v>1</v>
      </c>
      <c r="E165" s="25" t="s">
        <v>645</v>
      </c>
      <c r="F165" s="26" t="s">
        <v>560</v>
      </c>
      <c r="G165" t="s">
        <v>25</v>
      </c>
      <c r="H165" s="14"/>
      <c r="I165" t="s">
        <v>295</v>
      </c>
      <c r="J165" s="14"/>
      <c r="L165" t="s">
        <v>27</v>
      </c>
      <c r="M165" t="s">
        <v>646</v>
      </c>
      <c r="N165" s="14"/>
      <c r="O165" s="14" t="s">
        <v>647</v>
      </c>
      <c r="P165" s="29" t="s">
        <v>285</v>
      </c>
    </row>
    <row r="166" spans="2:16" ht="43.5" ns3:dyDescent="0.35">
      <c r="B166" s="10" t="s">
        <v>648</v>
      </c>
      <c r="C166" s="24" t="s">
        <v>649</v>
      </c>
      <c r="D166">
        <v>1</v>
      </c>
      <c r="E166" s="25" t="s">
        <v>650</v>
      </c>
      <c r="F166" s="26" t="s">
        <v>560</v>
      </c>
      <c r="G166" t="s">
        <v>25</v>
      </c>
      <c r="H166" s="14"/>
      <c r="I166" t="s">
        <v>295</v>
      </c>
      <c r="J166" s="14"/>
      <c r="L166" t="s">
        <v>27</v>
      </c>
      <c r="M166" t="s">
        <v>651</v>
      </c>
      <c r="N166" s="14"/>
      <c r="O166" s="14" t="s">
        <v>652</v>
      </c>
      <c r="P166" s="29" t="s">
        <v>285</v>
      </c>
    </row>
    <row r="167" spans="2:16" ht="43.5" ns3:dyDescent="0.35">
      <c r="B167" s="10" t="s">
        <v>653</v>
      </c>
      <c r="C167" s="24" t="s">
        <v>654</v>
      </c>
      <c r="D167">
        <v>1</v>
      </c>
      <c r="E167" s="25" t="s">
        <v>655</v>
      </c>
      <c r="F167" s="26" t="s">
        <v>560</v>
      </c>
      <c r="G167" t="s">
        <v>25</v>
      </c>
      <c r="H167" s="14"/>
      <c r="I167" t="s">
        <v>295</v>
      </c>
      <c r="J167" s="14"/>
      <c r="L167" t="s">
        <v>27</v>
      </c>
      <c r="M167" t="s">
        <v>656</v>
      </c>
      <c r="N167" s="14"/>
      <c r="O167" s="14" t="s">
        <v>657</v>
      </c>
      <c r="P167" s="29" t="s">
        <v>285</v>
      </c>
    </row>
    <row r="168" spans="2:16" ht="43.5" ns3:dyDescent="0.35">
      <c r="B168" s="10" t="s">
        <v>658</v>
      </c>
      <c r="C168" s="24" t="s">
        <v>659</v>
      </c>
      <c r="D168">
        <v>1</v>
      </c>
      <c r="E168" s="25" t="s">
        <v>660</v>
      </c>
      <c r="F168" s="26" t="s">
        <v>560</v>
      </c>
      <c r="G168" t="s">
        <v>25</v>
      </c>
      <c r="H168" s="14"/>
      <c r="I168" t="s">
        <v>295</v>
      </c>
      <c r="J168" s="14"/>
      <c r="L168" t="s">
        <v>27</v>
      </c>
      <c r="M168" t="s">
        <v>661</v>
      </c>
      <c r="N168" s="14"/>
      <c r="O168" s="14" t="s">
        <v>662</v>
      </c>
      <c r="P168" s="29" t="s">
        <v>285</v>
      </c>
    </row>
    <row r="169" spans="2:16" ht="43.5" ns3:dyDescent="0.35">
      <c r="B169" s="10" t="s">
        <v>663</v>
      </c>
      <c r="C169" s="24" t="s">
        <v>664</v>
      </c>
      <c r="D169">
        <v>1</v>
      </c>
      <c r="E169" s="25" t="s">
        <v>665</v>
      </c>
      <c r="F169" s="26" t="s">
        <v>560</v>
      </c>
      <c r="G169" t="s">
        <v>25</v>
      </c>
      <c r="H169" s="14"/>
      <c r="I169" t="s">
        <v>295</v>
      </c>
      <c r="J169" s="14"/>
      <c r="L169" t="s">
        <v>27</v>
      </c>
      <c r="M169" t="s">
        <v>666</v>
      </c>
      <c r="N169" s="14"/>
      <c r="O169" s="14" t="s">
        <v>667</v>
      </c>
      <c r="P169" s="29" t="s">
        <v>285</v>
      </c>
    </row>
    <row r="170" spans="2:16" ht="43.5" ns3:dyDescent="0.35">
      <c r="B170" s="10" t="s">
        <v>668</v>
      </c>
      <c r="C170" s="24" t="s">
        <v>669</v>
      </c>
      <c r="D170">
        <v>1</v>
      </c>
      <c r="E170" s="25" t="s">
        <v>670</v>
      </c>
      <c r="F170" s="26" t="s">
        <v>560</v>
      </c>
      <c r="G170" t="s">
        <v>25</v>
      </c>
      <c r="H170" s="14"/>
      <c r="I170" t="s">
        <v>295</v>
      </c>
      <c r="J170" s="14"/>
      <c r="L170" t="s">
        <v>27</v>
      </c>
      <c r="M170" t="s">
        <v>671</v>
      </c>
      <c r="N170" s="14"/>
      <c r="O170" s="14" t="s">
        <v>672</v>
      </c>
      <c r="P170" s="29" t="s">
        <v>285</v>
      </c>
    </row>
    <row r="171" spans="2:16" ht="43.5" ns3:dyDescent="0.35">
      <c r="B171" s="10" t="s">
        <v>673</v>
      </c>
      <c r="C171" s="24" t="s">
        <v>674</v>
      </c>
      <c r="D171">
        <v>1</v>
      </c>
      <c r="E171" s="25" t="s">
        <v>675</v>
      </c>
      <c r="F171" s="26" t="s">
        <v>560</v>
      </c>
      <c r="G171" t="s">
        <v>25</v>
      </c>
      <c r="H171" s="14"/>
      <c r="I171" t="s">
        <v>295</v>
      </c>
      <c r="J171" s="14"/>
      <c r="L171" t="s">
        <v>27</v>
      </c>
      <c r="M171" t="s">
        <v>676</v>
      </c>
      <c r="N171" s="14"/>
      <c r="O171" s="14" t="s">
        <v>677</v>
      </c>
      <c r="P171" s="29" t="s">
        <v>285</v>
      </c>
    </row>
    <row r="172" spans="2:16" ht="43.5" ns3:dyDescent="0.35">
      <c r="B172" s="10" t="s">
        <v>678</v>
      </c>
      <c r="C172" s="24" t="s">
        <v>679</v>
      </c>
      <c r="D172">
        <v>1</v>
      </c>
      <c r="E172" s="25" t="s">
        <v>680</v>
      </c>
      <c r="F172" s="26" t="s">
        <v>560</v>
      </c>
      <c r="G172" t="s">
        <v>25</v>
      </c>
      <c r="H172" s="14"/>
      <c r="I172" t="s">
        <v>295</v>
      </c>
      <c r="J172" s="14"/>
      <c r="L172" t="s">
        <v>27</v>
      </c>
      <c r="M172" t="s">
        <v>681</v>
      </c>
      <c r="N172" s="14"/>
      <c r="O172" s="14" t="s">
        <v>682</v>
      </c>
      <c r="P172" s="29" t="s">
        <v>285</v>
      </c>
    </row>
    <row r="173" spans="2:16" ht="43.5" ns3:dyDescent="0.35">
      <c r="B173" s="10" t="s">
        <v>683</v>
      </c>
      <c r="C173" s="24" t="s">
        <v>684</v>
      </c>
      <c r="D173">
        <v>1</v>
      </c>
      <c r="E173" s="25" t="s">
        <v>685</v>
      </c>
      <c r="F173" s="26" t="s">
        <v>560</v>
      </c>
      <c r="G173" t="s">
        <v>25</v>
      </c>
      <c r="H173" s="14"/>
      <c r="I173" t="s">
        <v>295</v>
      </c>
      <c r="J173" s="14"/>
      <c r="L173" t="s">
        <v>27</v>
      </c>
      <c r="M173" t="s">
        <v>686</v>
      </c>
      <c r="N173" s="14"/>
      <c r="O173" s="14" t="s">
        <v>687</v>
      </c>
      <c r="P173" s="29" t="s">
        <v>285</v>
      </c>
    </row>
    <row r="174" spans="2:16" ht="43.5" ns3:dyDescent="0.35">
      <c r="B174" s="10" t="s">
        <v>688</v>
      </c>
      <c r="C174" s="24" t="s">
        <v>689</v>
      </c>
      <c r="D174">
        <v>1</v>
      </c>
      <c r="E174" s="25" t="s">
        <v>690</v>
      </c>
      <c r="F174" s="26" t="s">
        <v>560</v>
      </c>
      <c r="G174" t="s">
        <v>25</v>
      </c>
      <c r="H174" s="14"/>
      <c r="I174" t="s">
        <v>295</v>
      </c>
      <c r="J174" s="14"/>
      <c r="L174" t="s">
        <v>27</v>
      </c>
      <c r="M174" t="s">
        <v>691</v>
      </c>
      <c r="N174" s="14"/>
      <c r="O174" s="14" t="s">
        <v>692</v>
      </c>
      <c r="P174" s="29" t="s">
        <v>285</v>
      </c>
    </row>
    <row r="175" spans="2:16" ht="43.5" ns3:dyDescent="0.35">
      <c r="B175" s="10" t="s">
        <v>693</v>
      </c>
      <c r="C175" s="24" t="s">
        <v>694</v>
      </c>
      <c r="D175">
        <v>1</v>
      </c>
      <c r="E175" s="25" t="s">
        <v>695</v>
      </c>
      <c r="F175" s="26" t="s">
        <v>560</v>
      </c>
      <c r="G175" t="s">
        <v>25</v>
      </c>
      <c r="H175" s="14"/>
      <c r="I175" t="s">
        <v>295</v>
      </c>
      <c r="J175" s="14"/>
      <c r="L175" t="s">
        <v>27</v>
      </c>
      <c r="M175" t="s">
        <v>696</v>
      </c>
      <c r="N175" s="14"/>
      <c r="O175" s="14" t="s">
        <v>697</v>
      </c>
      <c r="P175" s="29" t="s">
        <v>285</v>
      </c>
    </row>
    <row r="176" spans="2:16" ht="43.5" ns3:dyDescent="0.35">
      <c r="B176" s="10" t="s">
        <v>698</v>
      </c>
      <c r="C176" s="24" t="s">
        <v>699</v>
      </c>
      <c r="D176">
        <v>1</v>
      </c>
      <c r="E176" s="25" t="s">
        <v>700</v>
      </c>
      <c r="F176" s="26" t="s">
        <v>560</v>
      </c>
      <c r="G176" t="s">
        <v>25</v>
      </c>
      <c r="H176" s="14"/>
      <c r="I176" t="s">
        <v>295</v>
      </c>
      <c r="J176" s="14"/>
      <c r="L176" t="s">
        <v>27</v>
      </c>
      <c r="M176" t="s">
        <v>701</v>
      </c>
      <c r="N176" s="14"/>
      <c r="O176" s="14" t="s">
        <v>702</v>
      </c>
      <c r="P176" s="29" t="s">
        <v>285</v>
      </c>
    </row>
    <row r="177" spans="2:16" ht="43.5" ns3:dyDescent="0.35">
      <c r="B177" s="10" t="s">
        <v>703</v>
      </c>
      <c r="C177" s="24" t="s">
        <v>704</v>
      </c>
      <c r="D177">
        <v>1</v>
      </c>
      <c r="E177" s="25" t="s">
        <v>705</v>
      </c>
      <c r="F177" s="26" t="s">
        <v>560</v>
      </c>
      <c r="G177" t="s">
        <v>25</v>
      </c>
      <c r="H177" s="14"/>
      <c r="I177" t="s">
        <v>295</v>
      </c>
      <c r="J177" s="14"/>
      <c r="L177" t="s">
        <v>27</v>
      </c>
      <c r="M177" t="s">
        <v>706</v>
      </c>
      <c r="N177" s="14"/>
      <c r="O177" s="14" t="s">
        <v>707</v>
      </c>
      <c r="P177" s="29" t="s">
        <v>285</v>
      </c>
    </row>
    <row r="178" spans="2:16" ht="43.5" ns3:dyDescent="0.35">
      <c r="B178" s="10" t="s">
        <v>708</v>
      </c>
      <c r="C178" s="24" t="s">
        <v>709</v>
      </c>
      <c r="D178">
        <v>1</v>
      </c>
      <c r="E178" s="25" t="s">
        <v>710</v>
      </c>
      <c r="F178" s="26" t="s">
        <v>560</v>
      </c>
      <c r="G178" t="s">
        <v>25</v>
      </c>
      <c r="H178" s="14"/>
      <c r="I178" t="s">
        <v>295</v>
      </c>
      <c r="J178" s="14"/>
      <c r="L178" t="s">
        <v>27</v>
      </c>
      <c r="M178" t="s">
        <v>711</v>
      </c>
      <c r="N178" s="14"/>
      <c r="O178" s="14" t="s">
        <v>712</v>
      </c>
      <c r="P178" s="29" t="s">
        <v>285</v>
      </c>
    </row>
    <row r="179" spans="2:16" ht="43.5" ns3:dyDescent="0.35">
      <c r="B179" s="10" t="s">
        <v>713</v>
      </c>
      <c r="C179" s="24" t="s">
        <v>714</v>
      </c>
      <c r="D179">
        <v>1</v>
      </c>
      <c r="E179" s="25" t="s">
        <v>715</v>
      </c>
      <c r="F179" s="26" t="s">
        <v>560</v>
      </c>
      <c r="G179" t="s">
        <v>25</v>
      </c>
      <c r="H179" s="14"/>
      <c r="I179" t="s">
        <v>295</v>
      </c>
      <c r="J179" s="14"/>
      <c r="L179" t="s">
        <v>27</v>
      </c>
      <c r="M179" t="s">
        <v>716</v>
      </c>
      <c r="N179" s="14"/>
      <c r="O179" s="14" t="s">
        <v>717</v>
      </c>
      <c r="P179" s="29" t="s">
        <v>285</v>
      </c>
    </row>
    <row r="180" spans="2:16" ht="43.5" ns3:dyDescent="0.35">
      <c r="B180" s="10" t="s">
        <v>718</v>
      </c>
      <c r="C180" s="24" t="s">
        <v>719</v>
      </c>
      <c r="D180">
        <v>1</v>
      </c>
      <c r="E180" s="25" t="s">
        <v>720</v>
      </c>
      <c r="F180" s="26" t="s">
        <v>560</v>
      </c>
      <c r="G180" t="s">
        <v>25</v>
      </c>
      <c r="H180" s="14"/>
      <c r="I180" t="s">
        <v>295</v>
      </c>
      <c r="J180" s="14"/>
      <c r="L180" t="s">
        <v>27</v>
      </c>
      <c r="M180" t="s">
        <v>721</v>
      </c>
      <c r="N180" s="14"/>
      <c r="O180" s="14" t="s">
        <v>722</v>
      </c>
      <c r="P180" s="29" t="s">
        <v>285</v>
      </c>
    </row>
    <row r="181" spans="2:16" ht="43.5" ns3:dyDescent="0.35">
      <c r="B181" s="10" t="s">
        <v>723</v>
      </c>
      <c r="C181" s="24" t="s">
        <v>724</v>
      </c>
      <c r="D181">
        <v>1</v>
      </c>
      <c r="E181" s="25" t="s">
        <v>725</v>
      </c>
      <c r="F181" s="26" t="s">
        <v>560</v>
      </c>
      <c r="G181" t="s">
        <v>25</v>
      </c>
      <c r="H181" s="14"/>
      <c r="I181" t="s">
        <v>295</v>
      </c>
      <c r="J181" s="14"/>
      <c r="L181" t="s">
        <v>27</v>
      </c>
      <c r="M181" t="s">
        <v>726</v>
      </c>
      <c r="N181" s="14"/>
      <c r="O181" s="14" t="s">
        <v>727</v>
      </c>
      <c r="P181" s="29" t="s">
        <v>285</v>
      </c>
    </row>
    <row r="182" spans="2:16" ht="43.5" ns3:dyDescent="0.35">
      <c r="B182" s="10" t="s">
        <v>728</v>
      </c>
      <c r="C182" s="24" t="s">
        <v>729</v>
      </c>
      <c r="D182">
        <v>1</v>
      </c>
      <c r="E182" s="25" t="s">
        <v>730</v>
      </c>
      <c r="F182" s="26" t="s">
        <v>560</v>
      </c>
      <c r="G182" t="s">
        <v>25</v>
      </c>
      <c r="H182" s="14"/>
      <c r="I182" t="s">
        <v>295</v>
      </c>
      <c r="J182" s="14"/>
      <c r="L182" t="s">
        <v>27</v>
      </c>
      <c r="M182" t="s">
        <v>731</v>
      </c>
      <c r="N182" s="14"/>
      <c r="O182" s="14" t="s">
        <v>732</v>
      </c>
      <c r="P182" s="29" t="s">
        <v>285</v>
      </c>
    </row>
    <row r="183" spans="2:16" ht="43.5" ns3:dyDescent="0.35">
      <c r="B183" s="10" t="s">
        <v>733</v>
      </c>
      <c r="C183" s="24" t="s">
        <v>734</v>
      </c>
      <c r="D183">
        <v>1</v>
      </c>
      <c r="E183" s="25" t="s">
        <v>735</v>
      </c>
      <c r="F183" s="26" t="s">
        <v>560</v>
      </c>
      <c r="G183" t="s">
        <v>25</v>
      </c>
      <c r="H183" s="14"/>
      <c r="I183" t="s">
        <v>295</v>
      </c>
      <c r="J183" s="14"/>
      <c r="L183" t="s">
        <v>27</v>
      </c>
      <c r="M183" t="s">
        <v>736</v>
      </c>
      <c r="N183" s="14"/>
      <c r="O183" s="14" t="s">
        <v>737</v>
      </c>
      <c r="P183" s="29" t="s">
        <v>285</v>
      </c>
    </row>
    <row r="184" spans="2:16" ht="43.5" ns3:dyDescent="0.35">
      <c r="B184" s="10" t="s">
        <v>738</v>
      </c>
      <c r="C184" s="24" t="s">
        <v>739</v>
      </c>
      <c r="D184">
        <v>1</v>
      </c>
      <c r="E184" s="25" t="s">
        <v>740</v>
      </c>
      <c r="F184" s="26" t="s">
        <v>560</v>
      </c>
      <c r="G184" t="s">
        <v>25</v>
      </c>
      <c r="H184" s="14"/>
      <c r="I184" t="s">
        <v>295</v>
      </c>
      <c r="J184" s="14"/>
      <c r="L184" t="s">
        <v>27</v>
      </c>
      <c r="M184" t="s">
        <v>741</v>
      </c>
      <c r="N184" s="14"/>
      <c r="O184" s="14" t="s">
        <v>742</v>
      </c>
      <c r="P184" s="29" t="s">
        <v>285</v>
      </c>
    </row>
    <row r="185" spans="2:16" ht="58" ns3:dyDescent="0.35">
      <c r="B185" s="10" t="s">
        <v>743</v>
      </c>
      <c r="C185" s="24" t="s">
        <v>744</v>
      </c>
      <c r="D185">
        <v>1</v>
      </c>
      <c r="E185" s="25" t="s">
        <v>745</v>
      </c>
      <c r="F185" s="26" t="s">
        <v>560</v>
      </c>
      <c r="G185" t="s">
        <v>25</v>
      </c>
      <c r="H185" s="14"/>
      <c r="I185" t="s">
        <v>295</v>
      </c>
      <c r="J185" s="14"/>
      <c r="L185" t="s">
        <v>345</v>
      </c>
      <c r="M185" t="s">
        <v>746</v>
      </c>
      <c r="N185" s="14"/>
      <c r="O185" s="14" t="s">
        <v>361</v>
      </c>
      <c r="P185" s="29" t="s">
        <v>285</v>
      </c>
    </row>
    <row r="186" spans="2:16" ht="58" ns3:dyDescent="0.35">
      <c r="B186" s="10" t="s">
        <v>747</v>
      </c>
      <c r="C186" s="24" t="s">
        <v>748</v>
      </c>
      <c r="D186">
        <v>1</v>
      </c>
      <c r="E186" s="25" t="s">
        <v>749</v>
      </c>
      <c r="F186" s="26" t="s">
        <v>560</v>
      </c>
      <c r="G186" t="s">
        <v>25</v>
      </c>
      <c r="H186" s="14"/>
      <c r="I186" t="s">
        <v>295</v>
      </c>
      <c r="J186" s="14"/>
      <c r="L186" t="s">
        <v>345</v>
      </c>
      <c r="M186" t="s">
        <v>750</v>
      </c>
      <c r="N186" s="14"/>
      <c r="O186" s="14" t="s">
        <v>366</v>
      </c>
      <c r="P186" s="29" t="s">
        <v>285</v>
      </c>
    </row>
    <row r="187" spans="2:16" ht="43.5" ns3:dyDescent="0.35">
      <c r="B187" s="10" t="s">
        <v>751</v>
      </c>
      <c r="C187" s="24" t="s">
        <v>752</v>
      </c>
      <c r="D187">
        <v>1</v>
      </c>
      <c r="E187" s="25" t="s">
        <v>753</v>
      </c>
      <c r="F187" s="26" t="s">
        <v>560</v>
      </c>
      <c r="G187" t="s">
        <v>25</v>
      </c>
      <c r="H187" s="14"/>
      <c r="I187" t="s">
        <v>295</v>
      </c>
      <c r="J187" s="14"/>
      <c r="L187" t="s">
        <v>345</v>
      </c>
      <c r="M187" t="s">
        <v>754</v>
      </c>
      <c r="N187" s="14"/>
      <c r="O187" s="14" t="s">
        <v>371</v>
      </c>
      <c r="P187" s="29" t="s">
        <v>285</v>
      </c>
    </row>
    <row r="188" spans="2:16" ht="43.5" ns3:dyDescent="0.35">
      <c r="B188" s="10" t="s">
        <v>755</v>
      </c>
      <c r="C188" s="24" t="s">
        <v>756</v>
      </c>
      <c r="D188">
        <v>1</v>
      </c>
      <c r="E188" s="25" t="s">
        <v>757</v>
      </c>
      <c r="F188" s="26" t="s">
        <v>560</v>
      </c>
      <c r="G188" t="s">
        <v>25</v>
      </c>
      <c r="H188" s="14"/>
      <c r="I188" t="s">
        <v>295</v>
      </c>
      <c r="J188" s="14"/>
      <c r="L188" t="s">
        <v>345</v>
      </c>
      <c r="M188" t="s">
        <v>758</v>
      </c>
      <c r="N188" s="14"/>
      <c r="O188" s="14" t="s">
        <v>376</v>
      </c>
      <c r="P188" s="29" t="s">
        <v>285</v>
      </c>
    </row>
    <row r="189" spans="2:16" ht="58" ns3:dyDescent="0.35">
      <c r="B189" s="10" t="s">
        <v>759</v>
      </c>
      <c r="C189" s="24" t="s">
        <v>760</v>
      </c>
      <c r="D189">
        <v>1</v>
      </c>
      <c r="E189" s="25" t="s">
        <v>761</v>
      </c>
      <c r="F189" s="26" t="s">
        <v>560</v>
      </c>
      <c r="G189" t="s">
        <v>25</v>
      </c>
      <c r="H189" s="14"/>
      <c r="I189" t="s">
        <v>295</v>
      </c>
      <c r="J189" s="14"/>
      <c r="L189" t="s">
        <v>345</v>
      </c>
      <c r="M189" t="s">
        <v>762</v>
      </c>
      <c r="N189" s="14"/>
      <c r="O189" s="14" t="s">
        <v>381</v>
      </c>
      <c r="P189" s="29" t="s">
        <v>285</v>
      </c>
    </row>
    <row r="190" spans="2:16" ht="43.5" ns3:dyDescent="0.35">
      <c r="B190" s="10" t="s">
        <v>763</v>
      </c>
      <c r="C190" s="24" t="s">
        <v>764</v>
      </c>
      <c r="D190">
        <v>1</v>
      </c>
      <c r="E190" s="25" t="s">
        <v>765</v>
      </c>
      <c r="F190" s="26" t="s">
        <v>560</v>
      </c>
      <c r="G190" t="s">
        <v>25</v>
      </c>
      <c r="H190" s="14"/>
      <c r="I190" t="s">
        <v>295</v>
      </c>
      <c r="J190" s="14"/>
      <c r="L190" t="s">
        <v>27</v>
      </c>
      <c r="M190" t="s">
        <v>766</v>
      </c>
      <c r="N190" s="14"/>
      <c r="O190" s="14" t="s">
        <v>466</v>
      </c>
      <c r="P190" s="29" t="s">
        <v>285</v>
      </c>
    </row>
    <row r="191" spans="1:16" ns3:dyDescent="0.35">
      <c r="A191" t="inlineStr">
        <is>
          <t>Commissioner waiver history - stability and recovery regression</t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</row>
    <row r="192" spans="2:16" ht="58" ns3:dyDescent="0.35">
      <c r="B192" s="10" t="inlineStr">
        <is>
          <t>6.69</t>
        </is>
      </c>
      <c r="C192" s="24" t="inlineStr">
        <is>
          <t>Commissioner &gt; Manage Waiver Rules</t>
        </is>
      </c>
      <c r="D192" t="inlineStr">
        <is>
          <t>1</t>
        </is>
      </c>
      <c r="E192" s="25" t="inlineStr">
        <is>
          <t>Open Commissioner &gt; Manage Waiver Rules in a league with completed claims, then refresh the page.</t>
        </is>
      </c>
      <c r="F192" s="26" t="inlineStr">
        <is>
          <t>The claim history shows the selected league's completed claims and remains correct after refresh.</t>
        </is>
      </c>
      <c r="G192" t="inlineStr">
        <is>
          <t>Not Tested</t>
        </is>
      </c>
      <c r="H192" s="14" t="inlineStr">
        <is>
          <t/>
        </is>
      </c>
      <c r="I192" t="inlineStr">
        <is>
          <t>High</t>
        </is>
      </c>
      <c r="J192" s="14" t="inlineStr">
        <is>
          <t/>
        </is>
      </c>
      <c r="L192" t="inlineStr">
        <is>
          <t>Commissioner</t>
        </is>
      </c>
      <c r="M192" t="inlineStr">
        <is>
          <t>TRC-STABILITY-6.69</t>
        </is>
      </c>
      <c r="N192" s="14" t="inlineStr">
        <is>
          <t>https://github.com/NPGrant81/fantasy-football-pi/issues/534</t>
        </is>
      </c>
      <c r="O192" s="14" t="inlineStr">
        <is>
          <t>frontend/src/pages/commissioner/ManageWaiverRules.jsx</t>
        </is>
      </c>
      <c r="P192" s="29" t="inlineStr">
        <is>
          <t>P0 - Critical Path</t>
        </is>
      </c>
    </row>
    <row r="193" spans="2:16" ht="58" ns3:dyDescent="0.35">
      <c r="B193" s="10" t="inlineStr">
        <is>
          <t>6.70</t>
        </is>
      </c>
      <c r="C193" s="24" t="inlineStr">
        <is>
          <t>Commissioner &gt; Manage Waiver Rules</t>
        </is>
      </c>
      <c r="D193" t="inlineStr">
        <is>
          <t>1</t>
        </is>
      </c>
      <c r="E193" s="25" t="inlineStr">
        <is>
          <t>Open Commissioner &gt; Manage Waiver Rules in a league with no claims.</t>
        </is>
      </c>
      <c r="F193" s="26" t="inlineStr">
        <is>
          <t>The history shows no claims, without an error or claims from another league.</t>
        </is>
      </c>
      <c r="G193" t="inlineStr">
        <is>
          <t>Not Tested</t>
        </is>
      </c>
      <c r="H193" s="14" t="inlineStr">
        <is>
          <t/>
        </is>
      </c>
      <c r="I193" t="inlineStr">
        <is>
          <t>High</t>
        </is>
      </c>
      <c r="J193" s="14" t="inlineStr">
        <is>
          <t/>
        </is>
      </c>
      <c r="L193" t="inlineStr">
        <is>
          <t>Commissioner</t>
        </is>
      </c>
      <c r="M193" t="inlineStr">
        <is>
          <t>TRC-STABILITY-6.70</t>
        </is>
      </c>
      <c r="N193" s="14" t="inlineStr">
        <is>
          <t>https://github.com/NPGrant81/fantasy-football-pi/issues/534</t>
        </is>
      </c>
      <c r="O193" s="14" t="inlineStr">
        <is>
          <t>frontend/src/pages/commissioner/ManageWaiverRules.jsx</t>
        </is>
      </c>
      <c r="P193" s="29" t="inlineStr">
        <is>
          <t>P1 - Core Regression</t>
        </is>
      </c>
    </row>
    <row r="194" spans="2:16" ht="58" ns3:dyDescent="0.35">
      <c r="B194" s="10" t="inlineStr">
        <is>
          <t>6.71</t>
        </is>
      </c>
      <c r="C194" s="24" t="inlineStr">
        <is>
          <t>Commissioner &gt; Manage Waiver Rules</t>
        </is>
      </c>
      <c r="D194" t="inlineStr">
        <is>
          <t>1</t>
        </is>
      </c>
      <c r="E194" s="25" t="inlineStr">
        <is>
          <t>With QA simulating a temporary history-loading failure, open Manage Waiver Rules. Restore access and select Retry waiver history.</t>
        </is>
      </c>
      <c r="F194" s="26" t="inlineStr">
        <is>
          <t>A clear error appears instead of empty success. Retry loads the claim history after access is restored.</t>
        </is>
      </c>
      <c r="G194" t="inlineStr">
        <is>
          <t>Not Tested</t>
        </is>
      </c>
      <c r="H194" s="14" t="inlineStr">
        <is>
          <t/>
        </is>
      </c>
      <c r="I194" t="inlineStr">
        <is>
          <t>High</t>
        </is>
      </c>
      <c r="J194" s="14" t="inlineStr">
        <is>
          <t/>
        </is>
      </c>
      <c r="L194" t="inlineStr">
        <is>
          <t>Commissioner</t>
        </is>
      </c>
      <c r="M194" t="inlineStr">
        <is>
          <t>TRC-STABILITY-6.71</t>
        </is>
      </c>
      <c r="N194" s="14" t="inlineStr">
        <is>
          <t>https://github.com/NPGrant81/fantasy-football-pi/issues/534</t>
        </is>
      </c>
      <c r="O194" s="14" t="inlineStr">
        <is>
          <t>frontend/src/pages/commissioner/ManageWaiverRules.jsx</t>
        </is>
      </c>
      <c r="P194" s="29" t="inlineStr">
        <is>
          <t>P1 - Core Regression</t>
        </is>
      </c>
    </row>
    <row r="195" spans="2:16" ht="58" ns3:dyDescent="0.35">
      <c r="B195" s="10" t="inlineStr">
        <is>
          <t>6.72</t>
        </is>
      </c>
      <c r="C195" s="24" t="inlineStr">
        <is>
          <t>Commissioner &gt; Manage Waiver Rules</t>
        </is>
      </c>
      <c r="D195" t="inlineStr">
        <is>
          <t>1</t>
        </is>
      </c>
      <c r="E195" s="25" t="inlineStr">
        <is>
          <t>With QA restricting history access, open Manage Waiver Rules and try Retry waiver history.</t>
        </is>
      </c>
      <c r="F195" s="26" t="inlineStr">
        <is>
          <t>A clear permission message remains visible and no restricted claims are displayed.</t>
        </is>
      </c>
      <c r="G195" t="inlineStr">
        <is>
          <t>Not Tested</t>
        </is>
      </c>
      <c r="H195" s="14" t="inlineStr">
        <is>
          <t/>
        </is>
      </c>
      <c r="I195" t="inlineStr">
        <is>
          <t>High</t>
        </is>
      </c>
      <c r="J195" s="14" t="inlineStr">
        <is>
          <t/>
        </is>
      </c>
      <c r="L195" t="inlineStr">
        <is>
          <t>Commissioner</t>
        </is>
      </c>
      <c r="M195" t="inlineStr">
        <is>
          <t>TRC-STABILITY-6.72</t>
        </is>
      </c>
      <c r="N195" s="14" t="inlineStr">
        <is>
          <t>https://github.com/NPGrant81/fantasy-football-pi/issues/534</t>
        </is>
      </c>
      <c r="O195" s="14" t="inlineStr">
        <is>
          <t>frontend/src/pages/commissioner/ManageWaiverRules.jsx</t>
        </is>
      </c>
      <c r="P195" s="29" t="inlineStr">
        <is>
          <t>P0 - Critical Path</t>
        </is>
      </c>
    </row>
    <row r="196" spans="2:16" ht="58" ns3:dyDescent="0.35">
      <c r="B196" s="10" t="inlineStr">
        <is>
          <t>6.73</t>
        </is>
      </c>
      <c r="C196" s="24" t="inlineStr">
        <is>
          <t>Commissioner &gt; Manage Waiver Rules</t>
        </is>
      </c>
      <c r="D196" t="inlineStr">
        <is>
          <t>1</t>
        </is>
      </c>
      <c r="E196" s="25" t="inlineStr">
        <is>
          <t>Delay loading the first league's history with QA, switch to another league, then allow both loads to finish.</t>
        </is>
      </c>
      <c r="F196" s="26" t="inlineStr">
        <is>
          <t>Only the newly selected league's history appears; the delayed first league does not replace it.</t>
        </is>
      </c>
      <c r="G196" t="inlineStr">
        <is>
          <t>Not Tested</t>
        </is>
      </c>
      <c r="H196" s="14" t="inlineStr">
        <is>
          <t/>
        </is>
      </c>
      <c r="I196" t="inlineStr">
        <is>
          <t>High</t>
        </is>
      </c>
      <c r="J196" s="14" t="inlineStr">
        <is>
          <t/>
        </is>
      </c>
      <c r="L196" t="inlineStr">
        <is>
          <t>Commissioner</t>
        </is>
      </c>
      <c r="M196" t="inlineStr">
        <is>
          <t>TRC-STABILITY-6.73</t>
        </is>
      </c>
      <c r="N196" s="14" t="inlineStr">
        <is>
          <t>https://github.com/NPGrant81/fantasy-football-pi/issues/534</t>
        </is>
      </c>
      <c r="O196" s="14" t="inlineStr">
        <is>
          <t>frontend/src/pages/commissioner/ManageWaiverRules.jsx</t>
        </is>
      </c>
      <c r="P196" s="29" t="inlineStr">
        <is>
          <t>P0 - Critical Path</t>
        </is>
      </c>
    </row>
    <row r="197" spans="2:16" ht="58" ns3:dyDescent="0.35">
      <c r="B197" s="10" t="inlineStr">
        <is>
          <t>6.74</t>
        </is>
      </c>
      <c r="C197" s="24" t="inlineStr">
        <is>
          <t>Commissioner &gt; Manage Waiver Rules</t>
        </is>
      </c>
      <c r="D197" t="inlineStr">
        <is>
          <t>1</t>
        </is>
      </c>
      <c r="E197" s="25" t="inlineStr">
        <is>
          <t>Open Commissioner &gt; Manage Waiver Rules directly in a new tab, then refresh the page.</t>
        </is>
      </c>
      <c r="F197" s="26" t="inlineStr">
        <is>
          <t>The app page loads normally and claim history is either shown or reports a clear, retryable error.</t>
        </is>
      </c>
      <c r="G197" t="inlineStr">
        <is>
          <t>Not Tested</t>
        </is>
      </c>
      <c r="H197" s="14" t="inlineStr">
        <is>
          <t/>
        </is>
      </c>
      <c r="I197" t="inlineStr">
        <is>
          <t>High</t>
        </is>
      </c>
      <c r="J197" s="14" t="inlineStr">
        <is>
          <t/>
        </is>
      </c>
      <c r="L197" t="inlineStr">
        <is>
          <t>Commissioner</t>
        </is>
      </c>
      <c r="M197" t="inlineStr">
        <is>
          <t>TRC-STABILITY-6.74</t>
        </is>
      </c>
      <c r="N197" s="14" t="inlineStr">
        <is>
          <t>https://github.com/NPGrant81/fantasy-football-pi/issues/532</t>
        </is>
      </c>
      <c r="O197" s="14" t="inlineStr">
        <is>
          <t>frontend/src/pages/commissioner/ManageWaiverRules.jsx</t>
        </is>
      </c>
      <c r="P197" s="29" t="inlineStr">
        <is>
          <t>P1 - Core Regression</t>
        </is>
      </c>
    </row>
  </sheetData>
  <conditionalFormatting sqref="G5:G12">
    <cfRule type="cellIs" dxfId="23" priority="23" operator="equal">
      <formula>"Not Tested"</formula>
    </cfRule>
    <cfRule type="cellIs" dxfId="22" priority="26" operator="equal">
      <formula>"Pass"</formula>
    </cfRule>
  </conditionalFormatting>
  <conditionalFormatting sqref="G16:G32">
    <cfRule type="cellIs" dxfId="21" priority="21" operator="equal">
      <formula>"Not Tested"</formula>
    </cfRule>
    <cfRule type="cellIs" dxfId="20" priority="22" operator="equal">
      <formula>"Pass"</formula>
    </cfRule>
  </conditionalFormatting>
  <conditionalFormatting sqref="G36:G49">
    <cfRule type="cellIs" dxfId="19" priority="19" operator="equal">
      <formula>"Not Tested"</formula>
    </cfRule>
    <cfRule type="cellIs" dxfId="18" priority="20" operator="equal">
      <formula>"Pass"</formula>
    </cfRule>
  </conditionalFormatting>
  <conditionalFormatting sqref="G53:G68">
    <cfRule type="cellIs" dxfId="17" priority="17" operator="equal">
      <formula>"Not Tested"</formula>
    </cfRule>
    <cfRule type="cellIs" dxfId="16" priority="18" operator="equal">
      <formula>"Pass"</formula>
    </cfRule>
  </conditionalFormatting>
  <conditionalFormatting sqref="I5:I12">
    <cfRule type="cellIs" dxfId="15" priority="13" operator="equal">
      <formula>"Low"</formula>
    </cfRule>
    <cfRule type="cellIs" dxfId="14" priority="14" operator="equal">
      <formula>"Medium"</formula>
    </cfRule>
    <cfRule type="cellIs" dxfId="13" priority="15" operator="equal">
      <formula>"High"</formula>
    </cfRule>
    <cfRule type="cellIs" dxfId="12" priority="16" operator="equal">
      <formula>"Critical"</formula>
    </cfRule>
  </conditionalFormatting>
  <conditionalFormatting sqref="I16:I32">
    <cfRule type="cellIs" dxfId="11" priority="9" operator="equal">
      <formula>"Low"</formula>
    </cfRule>
    <cfRule type="cellIs" dxfId="10" priority="10" operator="equal">
      <formula>"Medium"</formula>
    </cfRule>
    <cfRule type="cellIs" dxfId="9" priority="11" operator="equal">
      <formula>"High"</formula>
    </cfRule>
    <cfRule type="cellIs" dxfId="8" priority="12" operator="equal">
      <formula>"Critical"</formula>
    </cfRule>
  </conditionalFormatting>
  <conditionalFormatting sqref="I36:I49">
    <cfRule type="cellIs" dxfId="7" priority="5" operator="equal">
      <formula>"Low"</formula>
    </cfRule>
    <cfRule type="cellIs" dxfId="6" priority="6" operator="equal">
      <formula>"Medium"</formula>
    </cfRule>
    <cfRule type="cellIs" dxfId="5" priority="7" operator="equal">
      <formula>"High"</formula>
    </cfRule>
    <cfRule type="cellIs" dxfId="4" priority="8" operator="equal">
      <formula>"Critical"</formula>
    </cfRule>
  </conditionalFormatting>
  <conditionalFormatting sqref="I53:I68">
    <cfRule type="cellIs" dxfId="3" priority="1" operator="equal">
      <formula>"Low"</formula>
    </cfRule>
    <cfRule type="cellIs" dxfId="2" priority="2" operator="equal">
      <formula>"Medium"</formula>
    </cfRule>
    <cfRule type="cellIs" dxfId="1" priority="3" operator="equal">
      <formula>"High"</formula>
    </cfRule>
    <cfRule type="cellIs" dxfId="0" priority="4" operator="equal">
      <formula>"Critical"</formula>
    </cfRule>
  </conditionalFormatting>
  <pageMargins left="0.7" right="0.7" top="0.75" bottom="0.75" header="0.3" footer="0.3"/>
  <pageSetup orientation="portrait"/>
  <extLst>
    <ext uri="{CCE6A557-97BC-4b89-ADB6-D9C93CAAB3DF}">
      <ns4:dataValidations count="5">
        <ns4:dataValidation type="list" allowBlank="1" ns2:uid="{00000000-0002-0000-0000-000000000000}">
          <ns4:formula1>
            <ns5:f>Dropdown_Lists!$A$1:$A$5</ns5:f>
          </ns4:formula1>
          <ns5:sqref>G5:G2000</ns5:sqref>
        </ns4:dataValidation>
        <ns4:dataValidation type="list" allowBlank="1" ns2:uid="{00000000-0002-0000-0000-000001000000}">
          <ns4:formula1>
            <ns5:f>Dropdown_Lists!$B$1:$B$4</ns5:f>
          </ns4:formula1>
          <ns5:sqref>I5:I2000</ns5:sqref>
        </ns4:dataValidation>
        <ns4:dataValidation type="list" allowBlank="1" ns2:uid="{00000000-0002-0000-0000-000002000000}">
          <ns4:formula1>
            <ns5:f>Dropdown_Lists!$C$1:$C$4</ns5:f>
          </ns4:formula1>
          <ns5:sqref>K5:K2000</ns5:sqref>
        </ns4:dataValidation>
        <ns4:dataValidation type="list" allowBlank="1" ns2:uid="{00000000-0002-0000-0000-000003000000}">
          <ns4:formula1>
            <ns5:f>Dropdown_Lists!$D$1:$D$4</ns5:f>
          </ns4:formula1>
          <ns5:sqref>L5:L2000</ns5:sqref>
        </ns4:dataValidation>
        <ns4:dataValidation type="list" allowBlank="1" ns2:uid="{00000000-0002-0000-0000-000004000000}">
          <ns4:formula1>
            <ns5:f>Dropdown_Lists!$G$2:$G$4</ns5:f>
          </ns4:formula1>
          <ns5:sqref>P5:P2000</ns5:sqref>
        </ns4:dataValidation>
      </ns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4.5" x14ac:dyDescent="0.35"/>
  <sheetData>
    <row r="1" spans="1:7" x14ac:dyDescent="0.35">
      <c r="A1" s="11" t="s">
        <v>25</v>
      </c>
      <c r="B1" s="11" t="s">
        <v>270</v>
      </c>
      <c r="C1" s="11" t="s">
        <v>767</v>
      </c>
      <c r="D1" s="11" t="s">
        <v>27</v>
      </c>
      <c r="E1" s="11" t="s">
        <v>768</v>
      </c>
      <c r="F1" s="11" t="s">
        <v>769</v>
      </c>
      <c r="G1" t="s">
        <v>770</v>
      </c>
    </row>
    <row r="2" spans="1:7" x14ac:dyDescent="0.35">
      <c r="A2" t="s">
        <v>771</v>
      </c>
      <c r="B2" t="s">
        <v>295</v>
      </c>
      <c r="C2" t="s">
        <v>772</v>
      </c>
      <c r="D2" t="s">
        <v>345</v>
      </c>
      <c r="E2" t="s">
        <v>773</v>
      </c>
      <c r="F2" t="s">
        <v>270</v>
      </c>
      <c r="G2" t="s">
        <v>29</v>
      </c>
    </row>
    <row r="3" spans="1:7" x14ac:dyDescent="0.35">
      <c r="A3" t="s">
        <v>774</v>
      </c>
      <c r="B3" t="s">
        <v>775</v>
      </c>
      <c r="C3" t="s">
        <v>776</v>
      </c>
      <c r="D3" t="s">
        <v>311</v>
      </c>
      <c r="E3" t="s">
        <v>771</v>
      </c>
      <c r="F3" t="s">
        <v>295</v>
      </c>
      <c r="G3" t="s">
        <v>285</v>
      </c>
    </row>
    <row r="4" spans="1:7" x14ac:dyDescent="0.35">
      <c r="A4" t="s">
        <v>777</v>
      </c>
      <c r="B4" t="s">
        <v>26</v>
      </c>
      <c r="C4" t="s">
        <v>26</v>
      </c>
      <c r="D4" t="s">
        <v>778</v>
      </c>
      <c r="E4" t="s">
        <v>779</v>
      </c>
      <c r="F4" t="s">
        <v>775</v>
      </c>
      <c r="G4" t="s">
        <v>66</v>
      </c>
    </row>
    <row r="5" spans="1:7" x14ac:dyDescent="0.35">
      <c r="A5" t="s">
        <v>780</v>
      </c>
      <c r="E5" t="s">
        <v>781</v>
      </c>
    </row>
    <row r="6" spans="1:7" x14ac:dyDescent="0.35">
      <c r="E6" t="s">
        <v>782</v>
      </c>
    </row>
    <row r="7" spans="1:7" x14ac:dyDescent="0.35">
      <c r="E7" t="s">
        <v>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00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4" customWidth="1"/>
    <col min="3" max="3" width="24" customWidth="1"/>
    <col min="4" max="4" width="40" customWidth="1"/>
    <col min="5" max="5" width="16" customWidth="1"/>
    <col min="6" max="7" width="12" customWidth="1"/>
    <col min="8" max="9" width="14" customWidth="1"/>
    <col min="10" max="10" width="24" customWidth="1"/>
    <col min="11" max="11" width="22" customWidth="1"/>
    <col min="12" max="12" width="42" customWidth="1"/>
    <col min="13" max="13" width="45" customWidth="1"/>
    <col min="14" max="16" width="35" customWidth="1"/>
    <col min="17" max="17" width="20" customWidth="1"/>
    <col min="18" max="18" width="30" customWidth="1"/>
    <col min="19" max="20" width="14" customWidth="1"/>
    <col min="22" max="22" width="24" customWidth="1"/>
    <col min="23" max="23" width="20" customWidth="1"/>
  </cols>
  <sheetData>
    <row r="1" spans="1:23" x14ac:dyDescent="0.35">
      <c r="A1" s="12" t="s">
        <v>784</v>
      </c>
      <c r="B1" s="12" t="s">
        <v>785</v>
      </c>
      <c r="C1" s="12" t="s">
        <v>16</v>
      </c>
      <c r="D1" s="12" t="s">
        <v>786</v>
      </c>
      <c r="E1" s="12" t="s">
        <v>787</v>
      </c>
      <c r="F1" s="12" t="s">
        <v>788</v>
      </c>
      <c r="G1" s="12" t="s">
        <v>789</v>
      </c>
      <c r="H1" s="12" t="s">
        <v>790</v>
      </c>
      <c r="I1" s="12" t="s">
        <v>15</v>
      </c>
      <c r="J1" s="12" t="s">
        <v>17</v>
      </c>
      <c r="K1" s="12" t="s">
        <v>791</v>
      </c>
      <c r="L1" s="12" t="s">
        <v>792</v>
      </c>
      <c r="M1" s="12" t="s">
        <v>793</v>
      </c>
      <c r="N1" s="12" t="s">
        <v>9</v>
      </c>
      <c r="O1" s="12" t="s">
        <v>11</v>
      </c>
      <c r="P1" s="12" t="s">
        <v>794</v>
      </c>
      <c r="Q1" s="12" t="s">
        <v>795</v>
      </c>
      <c r="R1" s="12" t="s">
        <v>796</v>
      </c>
      <c r="S1" s="12" t="s">
        <v>797</v>
      </c>
      <c r="T1" s="12" t="s">
        <v>798</v>
      </c>
      <c r="V1" s="17" t="s">
        <v>799</v>
      </c>
    </row>
    <row r="2" spans="1:23" x14ac:dyDescent="0.35">
      <c r="H2" t="s">
        <v>800</v>
      </c>
      <c r="L2" t="str">
        <f ca="1">IFERROR(_xludf.XLOOKUP(C2,CodePath_Defaults!A:A,CodePath_Defaults!D:D,""),IFERROR(_xludf.XLOOKUP(B2,CodePath_Defaults!B:B,CodePath_Defaults!D:D,""),""))</f>
        <v/>
      </c>
      <c r="T2" t="s">
        <v>801</v>
      </c>
      <c r="V2" s="11" t="s">
        <v>802</v>
      </c>
      <c r="W2">
        <f>COUNTIF(A2:A2000,"&lt;&gt;")</f>
        <v>0</v>
      </c>
    </row>
    <row r="3" spans="1:23" x14ac:dyDescent="0.35">
      <c r="L3" t="str">
        <f ca="1">IFERROR(_xludf.XLOOKUP(C3,CodePath_Defaults!A:A,CodePath_Defaults!D:D,""),IFERROR(_xludf.XLOOKUP(B3,CodePath_Defaults!B:B,CodePath_Defaults!D:D,""),""))</f>
        <v/>
      </c>
      <c r="T3" t="s">
        <v>801</v>
      </c>
      <c r="V3" s="11" t="s">
        <v>803</v>
      </c>
      <c r="W3">
        <f>SUM(COUNTIF(E2:E2000,{"New","Triaged","In Progress","Retest"}))</f>
        <v>0</v>
      </c>
    </row>
    <row r="4" spans="1:23" x14ac:dyDescent="0.35">
      <c r="L4" t="str">
        <f ca="1">IFERROR(_xludf.XLOOKUP(C4,CodePath_Defaults!A:A,CodePath_Defaults!D:D,""),IFERROR(_xludf.XLOOKUP(B4,CodePath_Defaults!B:B,CodePath_Defaults!D:D,""),""))</f>
        <v/>
      </c>
      <c r="T4" t="s">
        <v>801</v>
      </c>
      <c r="V4" s="11" t="s">
        <v>804</v>
      </c>
      <c r="W4">
        <f>COUNTIF(E2:E2000,"Closed")</f>
        <v>0</v>
      </c>
    </row>
    <row r="5" spans="1:23" x14ac:dyDescent="0.35">
      <c r="L5" t="str">
        <f ca="1">IFERROR(_xludf.XLOOKUP(C5,CodePath_Defaults!A:A,CodePath_Defaults!D:D,""),IFERROR(_xludf.XLOOKUP(B5,CodePath_Defaults!B:B,CodePath_Defaults!D:D,""),""))</f>
        <v/>
      </c>
      <c r="T5" t="s">
        <v>801</v>
      </c>
      <c r="V5" s="11" t="s">
        <v>805</v>
      </c>
      <c r="W5">
        <f>COUNTIF(E2:E2000,"Deferred")</f>
        <v>0</v>
      </c>
    </row>
    <row r="6" spans="1:23" x14ac:dyDescent="0.35">
      <c r="L6" t="str">
        <f ca="1">IFERROR(_xludf.XLOOKUP(C6,CodePath_Defaults!A:A,CodePath_Defaults!D:D,""),IFERROR(_xludf.XLOOKUP(B6,CodePath_Defaults!B:B,CodePath_Defaults!D:D,""),""))</f>
        <v/>
      </c>
      <c r="T6" t="s">
        <v>801</v>
      </c>
      <c r="V6" s="11" t="s">
        <v>806</v>
      </c>
      <c r="W6">
        <f>COUNTIF(F2:F2000,"Critical")</f>
        <v>0</v>
      </c>
    </row>
    <row r="7" spans="1:23" x14ac:dyDescent="0.35">
      <c r="L7" t="str">
        <f ca="1">IFERROR(_xludf.XLOOKUP(C7,CodePath_Defaults!A:A,CodePath_Defaults!D:D,""),IFERROR(_xludf.XLOOKUP(B7,CodePath_Defaults!B:B,CodePath_Defaults!D:D,""),""))</f>
        <v/>
      </c>
      <c r="T7" t="s">
        <v>801</v>
      </c>
      <c r="V7" s="11" t="s">
        <v>807</v>
      </c>
      <c r="W7">
        <f>COUNTIF(F2:F2000,"High")</f>
        <v>0</v>
      </c>
    </row>
    <row r="8" spans="1:23" x14ac:dyDescent="0.35">
      <c r="L8" t="str">
        <f ca="1">IFERROR(_xludf.XLOOKUP(C8,CodePath_Defaults!A:A,CodePath_Defaults!D:D,""),IFERROR(_xludf.XLOOKUP(B8,CodePath_Defaults!B:B,CodePath_Defaults!D:D,""),""))</f>
        <v/>
      </c>
      <c r="T8" t="s">
        <v>801</v>
      </c>
      <c r="V8" s="11" t="s">
        <v>808</v>
      </c>
      <c r="W8">
        <f>COUNTIF(F2:F2000,"Medium")</f>
        <v>0</v>
      </c>
    </row>
    <row r="9" spans="1:23" x14ac:dyDescent="0.35">
      <c r="L9" t="str">
        <f ca="1">IFERROR(_xludf.XLOOKUP(C9,CodePath_Defaults!A:A,CodePath_Defaults!D:D,""),IFERROR(_xludf.XLOOKUP(B9,CodePath_Defaults!B:B,CodePath_Defaults!D:D,""),""))</f>
        <v/>
      </c>
      <c r="T9" t="s">
        <v>801</v>
      </c>
      <c r="V9" s="11" t="s">
        <v>809</v>
      </c>
      <c r="W9">
        <f>COUNTIF(F2:F2000,"Low")</f>
        <v>0</v>
      </c>
    </row>
    <row r="10" spans="1:23" x14ac:dyDescent="0.35">
      <c r="L10" t="str">
        <f ca="1">IFERROR(_xludf.XLOOKUP(C10,CodePath_Defaults!A:A,CodePath_Defaults!D:D,""),IFERROR(_xludf.XLOOKUP(B10,CodePath_Defaults!B:B,CodePath_Defaults!D:D,""),""))</f>
        <v/>
      </c>
      <c r="T10" t="s">
        <v>801</v>
      </c>
      <c r="V10" s="11" t="s">
        <v>810</v>
      </c>
      <c r="W10">
        <f>COUNTIF(H2:H2000,"CERT")</f>
        <v>1</v>
      </c>
    </row>
    <row r="11" spans="1:23" x14ac:dyDescent="0.35">
      <c r="L11" t="str">
        <f ca="1">IFERROR(_xludf.XLOOKUP(C11,CodePath_Defaults!A:A,CodePath_Defaults!D:D,""),IFERROR(_xludf.XLOOKUP(B11,CodePath_Defaults!B:B,CodePath_Defaults!D:D,""),""))</f>
        <v/>
      </c>
      <c r="T11" t="s">
        <v>801</v>
      </c>
    </row>
    <row r="12" spans="1:23" x14ac:dyDescent="0.35">
      <c r="L12" t="str">
        <f ca="1">IFERROR(_xludf.XLOOKUP(C12,CodePath_Defaults!A:A,CodePath_Defaults!D:D,""),IFERROR(_xludf.XLOOKUP(B12,CodePath_Defaults!B:B,CodePath_Defaults!D:D,""),""))</f>
        <v/>
      </c>
      <c r="T12" t="s">
        <v>801</v>
      </c>
    </row>
    <row r="13" spans="1:23" x14ac:dyDescent="0.35">
      <c r="L13" t="str">
        <f ca="1">IFERROR(_xludf.XLOOKUP(C13,CodePath_Defaults!A:A,CodePath_Defaults!D:D,""),IFERROR(_xludf.XLOOKUP(B13,CodePath_Defaults!B:B,CodePath_Defaults!D:D,""),""))</f>
        <v/>
      </c>
      <c r="T13" t="s">
        <v>801</v>
      </c>
    </row>
    <row r="14" spans="1:23" x14ac:dyDescent="0.35">
      <c r="L14" t="str">
        <f ca="1">IFERROR(_xludf.XLOOKUP(C14,CodePath_Defaults!A:A,CodePath_Defaults!D:D,""),IFERROR(_xludf.XLOOKUP(B14,CodePath_Defaults!B:B,CodePath_Defaults!D:D,""),""))</f>
        <v/>
      </c>
      <c r="T14" t="s">
        <v>801</v>
      </c>
    </row>
    <row r="15" spans="1:23" x14ac:dyDescent="0.35">
      <c r="L15" t="str">
        <f ca="1">IFERROR(_xludf.XLOOKUP(C15,CodePath_Defaults!A:A,CodePath_Defaults!D:D,""),IFERROR(_xludf.XLOOKUP(B15,CodePath_Defaults!B:B,CodePath_Defaults!D:D,""),""))</f>
        <v/>
      </c>
      <c r="T15" t="s">
        <v>801</v>
      </c>
    </row>
    <row r="16" spans="1:23" x14ac:dyDescent="0.35">
      <c r="L16" t="str">
        <f ca="1">IFERROR(_xludf.XLOOKUP(C16,CodePath_Defaults!A:A,CodePath_Defaults!D:D,""),IFERROR(_xludf.XLOOKUP(B16,CodePath_Defaults!B:B,CodePath_Defaults!D:D,""),""))</f>
        <v/>
      </c>
      <c r="T16" t="s">
        <v>801</v>
      </c>
    </row>
    <row r="17" spans="12:20" x14ac:dyDescent="0.35">
      <c r="L17" t="str">
        <f ca="1">IFERROR(_xludf.XLOOKUP(C17,CodePath_Defaults!A:A,CodePath_Defaults!D:D,""),IFERROR(_xludf.XLOOKUP(B17,CodePath_Defaults!B:B,CodePath_Defaults!D:D,""),""))</f>
        <v/>
      </c>
      <c r="T17" t="s">
        <v>801</v>
      </c>
    </row>
    <row r="18" spans="12:20" x14ac:dyDescent="0.35">
      <c r="L18" t="str">
        <f ca="1">IFERROR(_xludf.XLOOKUP(C18,CodePath_Defaults!A:A,CodePath_Defaults!D:D,""),IFERROR(_xludf.XLOOKUP(B18,CodePath_Defaults!B:B,CodePath_Defaults!D:D,""),""))</f>
        <v/>
      </c>
      <c r="T18" t="s">
        <v>801</v>
      </c>
    </row>
    <row r="19" spans="12:20" x14ac:dyDescent="0.35">
      <c r="L19" t="str">
        <f ca="1">IFERROR(_xludf.XLOOKUP(C19,CodePath_Defaults!A:A,CodePath_Defaults!D:D,""),IFERROR(_xludf.XLOOKUP(B19,CodePath_Defaults!B:B,CodePath_Defaults!D:D,""),""))</f>
        <v/>
      </c>
      <c r="T19" t="s">
        <v>801</v>
      </c>
    </row>
    <row r="20" spans="12:20" x14ac:dyDescent="0.35">
      <c r="L20" t="str">
        <f ca="1">IFERROR(_xludf.XLOOKUP(C20,CodePath_Defaults!A:A,CodePath_Defaults!D:D,""),IFERROR(_xludf.XLOOKUP(B20,CodePath_Defaults!B:B,CodePath_Defaults!D:D,""),""))</f>
        <v/>
      </c>
      <c r="T20" t="s">
        <v>801</v>
      </c>
    </row>
    <row r="21" spans="12:20" x14ac:dyDescent="0.35">
      <c r="L21" t="str">
        <f ca="1">IFERROR(_xludf.XLOOKUP(C21,CodePath_Defaults!A:A,CodePath_Defaults!D:D,""),IFERROR(_xludf.XLOOKUP(B21,CodePath_Defaults!B:B,CodePath_Defaults!D:D,""),""))</f>
        <v/>
      </c>
      <c r="T21" t="s">
        <v>801</v>
      </c>
    </row>
    <row r="22" spans="12:20" x14ac:dyDescent="0.35">
      <c r="L22" t="str">
        <f ca="1">IFERROR(_xludf.XLOOKUP(C22,CodePath_Defaults!A:A,CodePath_Defaults!D:D,""),IFERROR(_xludf.XLOOKUP(B22,CodePath_Defaults!B:B,CodePath_Defaults!D:D,""),""))</f>
        <v/>
      </c>
      <c r="T22" t="s">
        <v>801</v>
      </c>
    </row>
    <row r="23" spans="12:20" x14ac:dyDescent="0.35">
      <c r="L23" t="str">
        <f ca="1">IFERROR(_xludf.XLOOKUP(C23,CodePath_Defaults!A:A,CodePath_Defaults!D:D,""),IFERROR(_xludf.XLOOKUP(B23,CodePath_Defaults!B:B,CodePath_Defaults!D:D,""),""))</f>
        <v/>
      </c>
      <c r="T23" t="s">
        <v>801</v>
      </c>
    </row>
    <row r="24" spans="12:20" x14ac:dyDescent="0.35">
      <c r="L24" t="str">
        <f ca="1">IFERROR(_xludf.XLOOKUP(C24,CodePath_Defaults!A:A,CodePath_Defaults!D:D,""),IFERROR(_xludf.XLOOKUP(B24,CodePath_Defaults!B:B,CodePath_Defaults!D:D,""),""))</f>
        <v/>
      </c>
      <c r="T24" t="s">
        <v>801</v>
      </c>
    </row>
    <row r="25" spans="12:20" x14ac:dyDescent="0.35">
      <c r="L25" t="str">
        <f ca="1">IFERROR(_xludf.XLOOKUP(C25,CodePath_Defaults!A:A,CodePath_Defaults!D:D,""),IFERROR(_xludf.XLOOKUP(B25,CodePath_Defaults!B:B,CodePath_Defaults!D:D,""),""))</f>
        <v/>
      </c>
      <c r="T25" t="s">
        <v>801</v>
      </c>
    </row>
    <row r="26" spans="12:20" x14ac:dyDescent="0.35">
      <c r="L26" t="str">
        <f ca="1">IFERROR(_xludf.XLOOKUP(C26,CodePath_Defaults!A:A,CodePath_Defaults!D:D,""),IFERROR(_xludf.XLOOKUP(B26,CodePath_Defaults!B:B,CodePath_Defaults!D:D,""),""))</f>
        <v/>
      </c>
      <c r="T26" t="s">
        <v>801</v>
      </c>
    </row>
    <row r="27" spans="12:20" x14ac:dyDescent="0.35">
      <c r="L27" t="str">
        <f ca="1">IFERROR(_xludf.XLOOKUP(C27,CodePath_Defaults!A:A,CodePath_Defaults!D:D,""),IFERROR(_xludf.XLOOKUP(B27,CodePath_Defaults!B:B,CodePath_Defaults!D:D,""),""))</f>
        <v/>
      </c>
      <c r="T27" t="s">
        <v>801</v>
      </c>
    </row>
    <row r="28" spans="12:20" x14ac:dyDescent="0.35">
      <c r="L28" t="str">
        <f ca="1">IFERROR(_xludf.XLOOKUP(C28,CodePath_Defaults!A:A,CodePath_Defaults!D:D,""),IFERROR(_xludf.XLOOKUP(B28,CodePath_Defaults!B:B,CodePath_Defaults!D:D,""),""))</f>
        <v/>
      </c>
      <c r="T28" t="s">
        <v>801</v>
      </c>
    </row>
    <row r="29" spans="12:20" x14ac:dyDescent="0.35">
      <c r="L29" t="str">
        <f ca="1">IFERROR(_xludf.XLOOKUP(C29,CodePath_Defaults!A:A,CodePath_Defaults!D:D,""),IFERROR(_xludf.XLOOKUP(B29,CodePath_Defaults!B:B,CodePath_Defaults!D:D,""),""))</f>
        <v/>
      </c>
      <c r="T29" t="s">
        <v>801</v>
      </c>
    </row>
    <row r="30" spans="12:20" x14ac:dyDescent="0.35">
      <c r="L30" t="str">
        <f ca="1">IFERROR(_xludf.XLOOKUP(C30,CodePath_Defaults!A:A,CodePath_Defaults!D:D,""),IFERROR(_xludf.XLOOKUP(B30,CodePath_Defaults!B:B,CodePath_Defaults!D:D,""),""))</f>
        <v/>
      </c>
      <c r="T30" t="s">
        <v>801</v>
      </c>
    </row>
    <row r="31" spans="12:20" x14ac:dyDescent="0.35">
      <c r="L31" t="str">
        <f ca="1">IFERROR(_xludf.XLOOKUP(C31,CodePath_Defaults!A:A,CodePath_Defaults!D:D,""),IFERROR(_xludf.XLOOKUP(B31,CodePath_Defaults!B:B,CodePath_Defaults!D:D,""),""))</f>
        <v/>
      </c>
      <c r="T31" t="s">
        <v>801</v>
      </c>
    </row>
    <row r="32" spans="12:20" x14ac:dyDescent="0.35">
      <c r="L32" t="str">
        <f ca="1">IFERROR(_xludf.XLOOKUP(C32,CodePath_Defaults!A:A,CodePath_Defaults!D:D,""),IFERROR(_xludf.XLOOKUP(B32,CodePath_Defaults!B:B,CodePath_Defaults!D:D,""),""))</f>
        <v/>
      </c>
      <c r="T32" t="s">
        <v>801</v>
      </c>
    </row>
    <row r="33" spans="12:20" x14ac:dyDescent="0.35">
      <c r="L33" t="str">
        <f ca="1">IFERROR(_xludf.XLOOKUP(C33,CodePath_Defaults!A:A,CodePath_Defaults!D:D,""),IFERROR(_xludf.XLOOKUP(B33,CodePath_Defaults!B:B,CodePath_Defaults!D:D,""),""))</f>
        <v/>
      </c>
      <c r="T33" t="s">
        <v>801</v>
      </c>
    </row>
    <row r="34" spans="12:20" x14ac:dyDescent="0.35">
      <c r="L34" t="str">
        <f ca="1">IFERROR(_xludf.XLOOKUP(C34,CodePath_Defaults!A:A,CodePath_Defaults!D:D,""),IFERROR(_xludf.XLOOKUP(B34,CodePath_Defaults!B:B,CodePath_Defaults!D:D,""),""))</f>
        <v/>
      </c>
      <c r="T34" t="s">
        <v>801</v>
      </c>
    </row>
    <row r="35" spans="12:20" x14ac:dyDescent="0.35">
      <c r="L35" t="str">
        <f ca="1">IFERROR(_xludf.XLOOKUP(C35,CodePath_Defaults!A:A,CodePath_Defaults!D:D,""),IFERROR(_xludf.XLOOKUP(B35,CodePath_Defaults!B:B,CodePath_Defaults!D:D,""),""))</f>
        <v/>
      </c>
      <c r="T35" t="s">
        <v>801</v>
      </c>
    </row>
    <row r="36" spans="12:20" x14ac:dyDescent="0.35">
      <c r="L36" t="str">
        <f ca="1">IFERROR(_xludf.XLOOKUP(C36,CodePath_Defaults!A:A,CodePath_Defaults!D:D,""),IFERROR(_xludf.XLOOKUP(B36,CodePath_Defaults!B:B,CodePath_Defaults!D:D,""),""))</f>
        <v/>
      </c>
      <c r="T36" t="s">
        <v>801</v>
      </c>
    </row>
    <row r="37" spans="12:20" x14ac:dyDescent="0.35">
      <c r="L37" t="str">
        <f ca="1">IFERROR(_xludf.XLOOKUP(C37,CodePath_Defaults!A:A,CodePath_Defaults!D:D,""),IFERROR(_xludf.XLOOKUP(B37,CodePath_Defaults!B:B,CodePath_Defaults!D:D,""),""))</f>
        <v/>
      </c>
      <c r="T37" t="s">
        <v>801</v>
      </c>
    </row>
    <row r="38" spans="12:20" x14ac:dyDescent="0.35">
      <c r="L38" t="str">
        <f ca="1">IFERROR(_xludf.XLOOKUP(C38,CodePath_Defaults!A:A,CodePath_Defaults!D:D,""),IFERROR(_xludf.XLOOKUP(B38,CodePath_Defaults!B:B,CodePath_Defaults!D:D,""),""))</f>
        <v/>
      </c>
      <c r="T38" t="s">
        <v>801</v>
      </c>
    </row>
    <row r="39" spans="12:20" x14ac:dyDescent="0.35">
      <c r="L39" t="str">
        <f ca="1">IFERROR(_xludf.XLOOKUP(C39,CodePath_Defaults!A:A,CodePath_Defaults!D:D,""),IFERROR(_xludf.XLOOKUP(B39,CodePath_Defaults!B:B,CodePath_Defaults!D:D,""),""))</f>
        <v/>
      </c>
      <c r="T39" t="s">
        <v>801</v>
      </c>
    </row>
    <row r="40" spans="12:20" x14ac:dyDescent="0.35">
      <c r="L40" t="str">
        <f ca="1">IFERROR(_xludf.XLOOKUP(C40,CodePath_Defaults!A:A,CodePath_Defaults!D:D,""),IFERROR(_xludf.XLOOKUP(B40,CodePath_Defaults!B:B,CodePath_Defaults!D:D,""),""))</f>
        <v/>
      </c>
      <c r="T40" t="s">
        <v>801</v>
      </c>
    </row>
    <row r="41" spans="12:20" x14ac:dyDescent="0.35">
      <c r="L41" t="str">
        <f ca="1">IFERROR(_xludf.XLOOKUP(C41,CodePath_Defaults!A:A,CodePath_Defaults!D:D,""),IFERROR(_xludf.XLOOKUP(B41,CodePath_Defaults!B:B,CodePath_Defaults!D:D,""),""))</f>
        <v/>
      </c>
      <c r="T41" t="s">
        <v>801</v>
      </c>
    </row>
    <row r="42" spans="12:20" x14ac:dyDescent="0.35">
      <c r="L42" t="str">
        <f ca="1">IFERROR(_xludf.XLOOKUP(C42,CodePath_Defaults!A:A,CodePath_Defaults!D:D,""),IFERROR(_xludf.XLOOKUP(B42,CodePath_Defaults!B:B,CodePath_Defaults!D:D,""),""))</f>
        <v/>
      </c>
      <c r="T42" t="s">
        <v>801</v>
      </c>
    </row>
    <row r="43" spans="12:20" x14ac:dyDescent="0.35">
      <c r="L43" t="str">
        <f ca="1">IFERROR(_xludf.XLOOKUP(C43,CodePath_Defaults!A:A,CodePath_Defaults!D:D,""),IFERROR(_xludf.XLOOKUP(B43,CodePath_Defaults!B:B,CodePath_Defaults!D:D,""),""))</f>
        <v/>
      </c>
      <c r="T43" t="s">
        <v>801</v>
      </c>
    </row>
    <row r="44" spans="12:20" x14ac:dyDescent="0.35">
      <c r="L44" t="str">
        <f ca="1">IFERROR(_xludf.XLOOKUP(C44,CodePath_Defaults!A:A,CodePath_Defaults!D:D,""),IFERROR(_xludf.XLOOKUP(B44,CodePath_Defaults!B:B,CodePath_Defaults!D:D,""),""))</f>
        <v/>
      </c>
      <c r="T44" t="s">
        <v>801</v>
      </c>
    </row>
    <row r="45" spans="12:20" x14ac:dyDescent="0.35">
      <c r="L45" t="str">
        <f ca="1">IFERROR(_xludf.XLOOKUP(C45,CodePath_Defaults!A:A,CodePath_Defaults!D:D,""),IFERROR(_xludf.XLOOKUP(B45,CodePath_Defaults!B:B,CodePath_Defaults!D:D,""),""))</f>
        <v/>
      </c>
      <c r="T45" t="s">
        <v>801</v>
      </c>
    </row>
    <row r="46" spans="12:20" x14ac:dyDescent="0.35">
      <c r="L46" t="str">
        <f ca="1">IFERROR(_xludf.XLOOKUP(C46,CodePath_Defaults!A:A,CodePath_Defaults!D:D,""),IFERROR(_xludf.XLOOKUP(B46,CodePath_Defaults!B:B,CodePath_Defaults!D:D,""),""))</f>
        <v/>
      </c>
      <c r="T46" t="s">
        <v>801</v>
      </c>
    </row>
    <row r="47" spans="12:20" x14ac:dyDescent="0.35">
      <c r="L47" t="str">
        <f ca="1">IFERROR(_xludf.XLOOKUP(C47,CodePath_Defaults!A:A,CodePath_Defaults!D:D,""),IFERROR(_xludf.XLOOKUP(B47,CodePath_Defaults!B:B,CodePath_Defaults!D:D,""),""))</f>
        <v/>
      </c>
      <c r="T47" t="s">
        <v>801</v>
      </c>
    </row>
    <row r="48" spans="12:20" x14ac:dyDescent="0.35">
      <c r="L48" t="str">
        <f ca="1">IFERROR(_xludf.XLOOKUP(C48,CodePath_Defaults!A:A,CodePath_Defaults!D:D,""),IFERROR(_xludf.XLOOKUP(B48,CodePath_Defaults!B:B,CodePath_Defaults!D:D,""),""))</f>
        <v/>
      </c>
      <c r="T48" t="s">
        <v>801</v>
      </c>
    </row>
    <row r="49" spans="12:20" x14ac:dyDescent="0.35">
      <c r="L49" t="str">
        <f ca="1">IFERROR(_xludf.XLOOKUP(C49,CodePath_Defaults!A:A,CodePath_Defaults!D:D,""),IFERROR(_xludf.XLOOKUP(B49,CodePath_Defaults!B:B,CodePath_Defaults!D:D,""),""))</f>
        <v/>
      </c>
      <c r="T49" t="s">
        <v>801</v>
      </c>
    </row>
    <row r="50" spans="12:20" x14ac:dyDescent="0.35">
      <c r="L50" t="str">
        <f ca="1">IFERROR(_xludf.XLOOKUP(C50,CodePath_Defaults!A:A,CodePath_Defaults!D:D,""),IFERROR(_xludf.XLOOKUP(B50,CodePath_Defaults!B:B,CodePath_Defaults!D:D,""),""))</f>
        <v/>
      </c>
      <c r="T50" t="s">
        <v>801</v>
      </c>
    </row>
    <row r="51" spans="12:20" x14ac:dyDescent="0.35">
      <c r="L51" t="str">
        <f ca="1">IFERROR(_xludf.XLOOKUP(C51,CodePath_Defaults!A:A,CodePath_Defaults!D:D,""),IFERROR(_xludf.XLOOKUP(B51,CodePath_Defaults!B:B,CodePath_Defaults!D:D,""),""))</f>
        <v/>
      </c>
      <c r="T51" t="s">
        <v>801</v>
      </c>
    </row>
    <row r="52" spans="12:20" x14ac:dyDescent="0.35">
      <c r="L52" t="str">
        <f ca="1">IFERROR(_xludf.XLOOKUP(C52,CodePath_Defaults!A:A,CodePath_Defaults!D:D,""),IFERROR(_xludf.XLOOKUP(B52,CodePath_Defaults!B:B,CodePath_Defaults!D:D,""),""))</f>
        <v/>
      </c>
      <c r="T52" t="s">
        <v>801</v>
      </c>
    </row>
    <row r="53" spans="12:20" x14ac:dyDescent="0.35">
      <c r="L53" t="str">
        <f ca="1">IFERROR(_xludf.XLOOKUP(C53,CodePath_Defaults!A:A,CodePath_Defaults!D:D,""),IFERROR(_xludf.XLOOKUP(B53,CodePath_Defaults!B:B,CodePath_Defaults!D:D,""),""))</f>
        <v/>
      </c>
      <c r="T53" t="s">
        <v>801</v>
      </c>
    </row>
    <row r="54" spans="12:20" x14ac:dyDescent="0.35">
      <c r="L54" t="str">
        <f ca="1">IFERROR(_xludf.XLOOKUP(C54,CodePath_Defaults!A:A,CodePath_Defaults!D:D,""),IFERROR(_xludf.XLOOKUP(B54,CodePath_Defaults!B:B,CodePath_Defaults!D:D,""),""))</f>
        <v/>
      </c>
      <c r="T54" t="s">
        <v>801</v>
      </c>
    </row>
    <row r="55" spans="12:20" x14ac:dyDescent="0.35">
      <c r="L55" t="str">
        <f ca="1">IFERROR(_xludf.XLOOKUP(C55,CodePath_Defaults!A:A,CodePath_Defaults!D:D,""),IFERROR(_xludf.XLOOKUP(B55,CodePath_Defaults!B:B,CodePath_Defaults!D:D,""),""))</f>
        <v/>
      </c>
      <c r="T55" t="s">
        <v>801</v>
      </c>
    </row>
    <row r="56" spans="12:20" x14ac:dyDescent="0.35">
      <c r="L56" t="str">
        <f ca="1">IFERROR(_xludf.XLOOKUP(C56,CodePath_Defaults!A:A,CodePath_Defaults!D:D,""),IFERROR(_xludf.XLOOKUP(B56,CodePath_Defaults!B:B,CodePath_Defaults!D:D,""),""))</f>
        <v/>
      </c>
      <c r="T56" t="s">
        <v>801</v>
      </c>
    </row>
    <row r="57" spans="12:20" x14ac:dyDescent="0.35">
      <c r="L57" t="str">
        <f ca="1">IFERROR(_xludf.XLOOKUP(C57,CodePath_Defaults!A:A,CodePath_Defaults!D:D,""),IFERROR(_xludf.XLOOKUP(B57,CodePath_Defaults!B:B,CodePath_Defaults!D:D,""),""))</f>
        <v/>
      </c>
      <c r="T57" t="s">
        <v>801</v>
      </c>
    </row>
    <row r="58" spans="12:20" x14ac:dyDescent="0.35">
      <c r="L58" t="str">
        <f ca="1">IFERROR(_xludf.XLOOKUP(C58,CodePath_Defaults!A:A,CodePath_Defaults!D:D,""),IFERROR(_xludf.XLOOKUP(B58,CodePath_Defaults!B:B,CodePath_Defaults!D:D,""),""))</f>
        <v/>
      </c>
      <c r="T58" t="s">
        <v>801</v>
      </c>
    </row>
    <row r="59" spans="12:20" x14ac:dyDescent="0.35">
      <c r="L59" t="str">
        <f ca="1">IFERROR(_xludf.XLOOKUP(C59,CodePath_Defaults!A:A,CodePath_Defaults!D:D,""),IFERROR(_xludf.XLOOKUP(B59,CodePath_Defaults!B:B,CodePath_Defaults!D:D,""),""))</f>
        <v/>
      </c>
      <c r="T59" t="s">
        <v>801</v>
      </c>
    </row>
    <row r="60" spans="12:20" x14ac:dyDescent="0.35">
      <c r="L60" t="str">
        <f ca="1">IFERROR(_xludf.XLOOKUP(C60,CodePath_Defaults!A:A,CodePath_Defaults!D:D,""),IFERROR(_xludf.XLOOKUP(B60,CodePath_Defaults!B:B,CodePath_Defaults!D:D,""),""))</f>
        <v/>
      </c>
      <c r="T60" t="s">
        <v>801</v>
      </c>
    </row>
    <row r="61" spans="12:20" x14ac:dyDescent="0.35">
      <c r="L61" t="str">
        <f ca="1">IFERROR(_xludf.XLOOKUP(C61,CodePath_Defaults!A:A,CodePath_Defaults!D:D,""),IFERROR(_xludf.XLOOKUP(B61,CodePath_Defaults!B:B,CodePath_Defaults!D:D,""),""))</f>
        <v/>
      </c>
      <c r="T61" t="s">
        <v>801</v>
      </c>
    </row>
    <row r="62" spans="12:20" x14ac:dyDescent="0.35">
      <c r="L62" t="str">
        <f ca="1">IFERROR(_xludf.XLOOKUP(C62,CodePath_Defaults!A:A,CodePath_Defaults!D:D,""),IFERROR(_xludf.XLOOKUP(B62,CodePath_Defaults!B:B,CodePath_Defaults!D:D,""),""))</f>
        <v/>
      </c>
      <c r="T62" t="s">
        <v>801</v>
      </c>
    </row>
    <row r="63" spans="12:20" x14ac:dyDescent="0.35">
      <c r="L63" t="str">
        <f ca="1">IFERROR(_xludf.XLOOKUP(C63,CodePath_Defaults!A:A,CodePath_Defaults!D:D,""),IFERROR(_xludf.XLOOKUP(B63,CodePath_Defaults!B:B,CodePath_Defaults!D:D,""),""))</f>
        <v/>
      </c>
      <c r="T63" t="s">
        <v>801</v>
      </c>
    </row>
    <row r="64" spans="12:20" x14ac:dyDescent="0.35">
      <c r="L64" t="str">
        <f ca="1">IFERROR(_xludf.XLOOKUP(C64,CodePath_Defaults!A:A,CodePath_Defaults!D:D,""),IFERROR(_xludf.XLOOKUP(B64,CodePath_Defaults!B:B,CodePath_Defaults!D:D,""),""))</f>
        <v/>
      </c>
      <c r="T64" t="s">
        <v>801</v>
      </c>
    </row>
    <row r="65" spans="12:20" x14ac:dyDescent="0.35">
      <c r="L65" t="str">
        <f ca="1">IFERROR(_xludf.XLOOKUP(C65,CodePath_Defaults!A:A,CodePath_Defaults!D:D,""),IFERROR(_xludf.XLOOKUP(B65,CodePath_Defaults!B:B,CodePath_Defaults!D:D,""),""))</f>
        <v/>
      </c>
      <c r="T65" t="s">
        <v>801</v>
      </c>
    </row>
    <row r="66" spans="12:20" x14ac:dyDescent="0.35">
      <c r="L66" t="str">
        <f ca="1">IFERROR(_xludf.XLOOKUP(C66,CodePath_Defaults!A:A,CodePath_Defaults!D:D,""),IFERROR(_xludf.XLOOKUP(B66,CodePath_Defaults!B:B,CodePath_Defaults!D:D,""),""))</f>
        <v/>
      </c>
      <c r="T66" t="s">
        <v>801</v>
      </c>
    </row>
    <row r="67" spans="12:20" x14ac:dyDescent="0.35">
      <c r="L67" t="str">
        <f ca="1">IFERROR(_xludf.XLOOKUP(C67,CodePath_Defaults!A:A,CodePath_Defaults!D:D,""),IFERROR(_xludf.XLOOKUP(B67,CodePath_Defaults!B:B,CodePath_Defaults!D:D,""),""))</f>
        <v/>
      </c>
      <c r="T67" t="s">
        <v>801</v>
      </c>
    </row>
    <row r="68" spans="12:20" x14ac:dyDescent="0.35">
      <c r="L68" t="str">
        <f ca="1">IFERROR(_xludf.XLOOKUP(C68,CodePath_Defaults!A:A,CodePath_Defaults!D:D,""),IFERROR(_xludf.XLOOKUP(B68,CodePath_Defaults!B:B,CodePath_Defaults!D:D,""),""))</f>
        <v/>
      </c>
      <c r="T68" t="s">
        <v>801</v>
      </c>
    </row>
    <row r="69" spans="12:20" x14ac:dyDescent="0.35">
      <c r="L69" t="str">
        <f ca="1">IFERROR(_xludf.XLOOKUP(C69,CodePath_Defaults!A:A,CodePath_Defaults!D:D,""),IFERROR(_xludf.XLOOKUP(B69,CodePath_Defaults!B:B,CodePath_Defaults!D:D,""),""))</f>
        <v/>
      </c>
      <c r="T69" t="s">
        <v>801</v>
      </c>
    </row>
    <row r="70" spans="12:20" x14ac:dyDescent="0.35">
      <c r="L70" t="str">
        <f ca="1">IFERROR(_xludf.XLOOKUP(C70,CodePath_Defaults!A:A,CodePath_Defaults!D:D,""),IFERROR(_xludf.XLOOKUP(B70,CodePath_Defaults!B:B,CodePath_Defaults!D:D,""),""))</f>
        <v/>
      </c>
      <c r="T70" t="s">
        <v>801</v>
      </c>
    </row>
    <row r="71" spans="12:20" x14ac:dyDescent="0.35">
      <c r="L71" t="str">
        <f ca="1">IFERROR(_xludf.XLOOKUP(C71,CodePath_Defaults!A:A,CodePath_Defaults!D:D,""),IFERROR(_xludf.XLOOKUP(B71,CodePath_Defaults!B:B,CodePath_Defaults!D:D,""),""))</f>
        <v/>
      </c>
      <c r="T71" t="s">
        <v>801</v>
      </c>
    </row>
    <row r="72" spans="12:20" x14ac:dyDescent="0.35">
      <c r="L72" t="str">
        <f ca="1">IFERROR(_xludf.XLOOKUP(C72,CodePath_Defaults!A:A,CodePath_Defaults!D:D,""),IFERROR(_xludf.XLOOKUP(B72,CodePath_Defaults!B:B,CodePath_Defaults!D:D,""),""))</f>
        <v/>
      </c>
      <c r="T72" t="s">
        <v>801</v>
      </c>
    </row>
    <row r="73" spans="12:20" x14ac:dyDescent="0.35">
      <c r="L73" t="str">
        <f ca="1">IFERROR(_xludf.XLOOKUP(C73,CodePath_Defaults!A:A,CodePath_Defaults!D:D,""),IFERROR(_xludf.XLOOKUP(B73,CodePath_Defaults!B:B,CodePath_Defaults!D:D,""),""))</f>
        <v/>
      </c>
      <c r="T73" t="s">
        <v>801</v>
      </c>
    </row>
    <row r="74" spans="12:20" x14ac:dyDescent="0.35">
      <c r="L74" t="str">
        <f ca="1">IFERROR(_xludf.XLOOKUP(C74,CodePath_Defaults!A:A,CodePath_Defaults!D:D,""),IFERROR(_xludf.XLOOKUP(B74,CodePath_Defaults!B:B,CodePath_Defaults!D:D,""),""))</f>
        <v/>
      </c>
      <c r="T74" t="s">
        <v>801</v>
      </c>
    </row>
    <row r="75" spans="12:20" x14ac:dyDescent="0.35">
      <c r="L75" t="str">
        <f ca="1">IFERROR(_xludf.XLOOKUP(C75,CodePath_Defaults!A:A,CodePath_Defaults!D:D,""),IFERROR(_xludf.XLOOKUP(B75,CodePath_Defaults!B:B,CodePath_Defaults!D:D,""),""))</f>
        <v/>
      </c>
      <c r="T75" t="s">
        <v>801</v>
      </c>
    </row>
    <row r="76" spans="12:20" x14ac:dyDescent="0.35">
      <c r="L76" t="str">
        <f ca="1">IFERROR(_xludf.XLOOKUP(C76,CodePath_Defaults!A:A,CodePath_Defaults!D:D,""),IFERROR(_xludf.XLOOKUP(B76,CodePath_Defaults!B:B,CodePath_Defaults!D:D,""),""))</f>
        <v/>
      </c>
      <c r="T76" t="s">
        <v>801</v>
      </c>
    </row>
    <row r="77" spans="12:20" x14ac:dyDescent="0.35">
      <c r="L77" t="str">
        <f ca="1">IFERROR(_xludf.XLOOKUP(C77,CodePath_Defaults!A:A,CodePath_Defaults!D:D,""),IFERROR(_xludf.XLOOKUP(B77,CodePath_Defaults!B:B,CodePath_Defaults!D:D,""),""))</f>
        <v/>
      </c>
      <c r="T77" t="s">
        <v>801</v>
      </c>
    </row>
    <row r="78" spans="12:20" x14ac:dyDescent="0.35">
      <c r="L78" t="str">
        <f ca="1">IFERROR(_xludf.XLOOKUP(C78,CodePath_Defaults!A:A,CodePath_Defaults!D:D,""),IFERROR(_xludf.XLOOKUP(B78,CodePath_Defaults!B:B,CodePath_Defaults!D:D,""),""))</f>
        <v/>
      </c>
      <c r="T78" t="s">
        <v>801</v>
      </c>
    </row>
    <row r="79" spans="12:20" x14ac:dyDescent="0.35">
      <c r="L79" t="str">
        <f ca="1">IFERROR(_xludf.XLOOKUP(C79,CodePath_Defaults!A:A,CodePath_Defaults!D:D,""),IFERROR(_xludf.XLOOKUP(B79,CodePath_Defaults!B:B,CodePath_Defaults!D:D,""),""))</f>
        <v/>
      </c>
      <c r="T79" t="s">
        <v>801</v>
      </c>
    </row>
    <row r="80" spans="12:20" x14ac:dyDescent="0.35">
      <c r="L80" t="str">
        <f ca="1">IFERROR(_xludf.XLOOKUP(C80,CodePath_Defaults!A:A,CodePath_Defaults!D:D,""),IFERROR(_xludf.XLOOKUP(B80,CodePath_Defaults!B:B,CodePath_Defaults!D:D,""),""))</f>
        <v/>
      </c>
      <c r="T80" t="s">
        <v>801</v>
      </c>
    </row>
    <row r="81" spans="12:20" x14ac:dyDescent="0.35">
      <c r="L81" t="str">
        <f ca="1">IFERROR(_xludf.XLOOKUP(C81,CodePath_Defaults!A:A,CodePath_Defaults!D:D,""),IFERROR(_xludf.XLOOKUP(B81,CodePath_Defaults!B:B,CodePath_Defaults!D:D,""),""))</f>
        <v/>
      </c>
      <c r="T81" t="s">
        <v>801</v>
      </c>
    </row>
    <row r="82" spans="12:20" x14ac:dyDescent="0.35">
      <c r="L82" t="str">
        <f ca="1">IFERROR(_xludf.XLOOKUP(C82,CodePath_Defaults!A:A,CodePath_Defaults!D:D,""),IFERROR(_xludf.XLOOKUP(B82,CodePath_Defaults!B:B,CodePath_Defaults!D:D,""),""))</f>
        <v/>
      </c>
      <c r="T82" t="s">
        <v>801</v>
      </c>
    </row>
    <row r="83" spans="12:20" x14ac:dyDescent="0.35">
      <c r="L83" t="str">
        <f ca="1">IFERROR(_xludf.XLOOKUP(C83,CodePath_Defaults!A:A,CodePath_Defaults!D:D,""),IFERROR(_xludf.XLOOKUP(B83,CodePath_Defaults!B:B,CodePath_Defaults!D:D,""),""))</f>
        <v/>
      </c>
      <c r="T83" t="s">
        <v>801</v>
      </c>
    </row>
    <row r="84" spans="12:20" x14ac:dyDescent="0.35">
      <c r="L84" t="str">
        <f ca="1">IFERROR(_xludf.XLOOKUP(C84,CodePath_Defaults!A:A,CodePath_Defaults!D:D,""),IFERROR(_xludf.XLOOKUP(B84,CodePath_Defaults!B:B,CodePath_Defaults!D:D,""),""))</f>
        <v/>
      </c>
      <c r="T84" t="s">
        <v>801</v>
      </c>
    </row>
    <row r="85" spans="12:20" x14ac:dyDescent="0.35">
      <c r="L85" t="str">
        <f ca="1">IFERROR(_xludf.XLOOKUP(C85,CodePath_Defaults!A:A,CodePath_Defaults!D:D,""),IFERROR(_xludf.XLOOKUP(B85,CodePath_Defaults!B:B,CodePath_Defaults!D:D,""),""))</f>
        <v/>
      </c>
      <c r="T85" t="s">
        <v>801</v>
      </c>
    </row>
    <row r="86" spans="12:20" x14ac:dyDescent="0.35">
      <c r="L86" t="str">
        <f ca="1">IFERROR(_xludf.XLOOKUP(C86,CodePath_Defaults!A:A,CodePath_Defaults!D:D,""),IFERROR(_xludf.XLOOKUP(B86,CodePath_Defaults!B:B,CodePath_Defaults!D:D,""),""))</f>
        <v/>
      </c>
      <c r="T86" t="s">
        <v>801</v>
      </c>
    </row>
    <row r="87" spans="12:20" x14ac:dyDescent="0.35">
      <c r="L87" t="str">
        <f ca="1">IFERROR(_xludf.XLOOKUP(C87,CodePath_Defaults!A:A,CodePath_Defaults!D:D,""),IFERROR(_xludf.XLOOKUP(B87,CodePath_Defaults!B:B,CodePath_Defaults!D:D,""),""))</f>
        <v/>
      </c>
      <c r="T87" t="s">
        <v>801</v>
      </c>
    </row>
    <row r="88" spans="12:20" x14ac:dyDescent="0.35">
      <c r="L88" t="str">
        <f ca="1">IFERROR(_xludf.XLOOKUP(C88,CodePath_Defaults!A:A,CodePath_Defaults!D:D,""),IFERROR(_xludf.XLOOKUP(B88,CodePath_Defaults!B:B,CodePath_Defaults!D:D,""),""))</f>
        <v/>
      </c>
      <c r="T88" t="s">
        <v>801</v>
      </c>
    </row>
    <row r="89" spans="12:20" x14ac:dyDescent="0.35">
      <c r="L89" t="str">
        <f ca="1">IFERROR(_xludf.XLOOKUP(C89,CodePath_Defaults!A:A,CodePath_Defaults!D:D,""),IFERROR(_xludf.XLOOKUP(B89,CodePath_Defaults!B:B,CodePath_Defaults!D:D,""),""))</f>
        <v/>
      </c>
      <c r="T89" t="s">
        <v>801</v>
      </c>
    </row>
    <row r="90" spans="12:20" x14ac:dyDescent="0.35">
      <c r="L90" t="str">
        <f ca="1">IFERROR(_xludf.XLOOKUP(C90,CodePath_Defaults!A:A,CodePath_Defaults!D:D,""),IFERROR(_xludf.XLOOKUP(B90,CodePath_Defaults!B:B,CodePath_Defaults!D:D,""),""))</f>
        <v/>
      </c>
      <c r="T90" t="s">
        <v>801</v>
      </c>
    </row>
    <row r="91" spans="12:20" x14ac:dyDescent="0.35">
      <c r="L91" t="str">
        <f ca="1">IFERROR(_xludf.XLOOKUP(C91,CodePath_Defaults!A:A,CodePath_Defaults!D:D,""),IFERROR(_xludf.XLOOKUP(B91,CodePath_Defaults!B:B,CodePath_Defaults!D:D,""),""))</f>
        <v/>
      </c>
      <c r="T91" t="s">
        <v>801</v>
      </c>
    </row>
    <row r="92" spans="12:20" x14ac:dyDescent="0.35">
      <c r="L92" t="str">
        <f ca="1">IFERROR(_xludf.XLOOKUP(C92,CodePath_Defaults!A:A,CodePath_Defaults!D:D,""),IFERROR(_xludf.XLOOKUP(B92,CodePath_Defaults!B:B,CodePath_Defaults!D:D,""),""))</f>
        <v/>
      </c>
      <c r="T92" t="s">
        <v>801</v>
      </c>
    </row>
    <row r="93" spans="12:20" x14ac:dyDescent="0.35">
      <c r="L93" t="str">
        <f ca="1">IFERROR(_xludf.XLOOKUP(C93,CodePath_Defaults!A:A,CodePath_Defaults!D:D,""),IFERROR(_xludf.XLOOKUP(B93,CodePath_Defaults!B:B,CodePath_Defaults!D:D,""),""))</f>
        <v/>
      </c>
      <c r="T93" t="s">
        <v>801</v>
      </c>
    </row>
    <row r="94" spans="12:20" x14ac:dyDescent="0.35">
      <c r="L94" t="str">
        <f ca="1">IFERROR(_xludf.XLOOKUP(C94,CodePath_Defaults!A:A,CodePath_Defaults!D:D,""),IFERROR(_xludf.XLOOKUP(B94,CodePath_Defaults!B:B,CodePath_Defaults!D:D,""),""))</f>
        <v/>
      </c>
      <c r="T94" t="s">
        <v>801</v>
      </c>
    </row>
    <row r="95" spans="12:20" x14ac:dyDescent="0.35">
      <c r="L95" t="str">
        <f ca="1">IFERROR(_xludf.XLOOKUP(C95,CodePath_Defaults!A:A,CodePath_Defaults!D:D,""),IFERROR(_xludf.XLOOKUP(B95,CodePath_Defaults!B:B,CodePath_Defaults!D:D,""),""))</f>
        <v/>
      </c>
      <c r="T95" t="s">
        <v>801</v>
      </c>
    </row>
    <row r="96" spans="12:20" x14ac:dyDescent="0.35">
      <c r="L96" t="str">
        <f ca="1">IFERROR(_xludf.XLOOKUP(C96,CodePath_Defaults!A:A,CodePath_Defaults!D:D,""),IFERROR(_xludf.XLOOKUP(B96,CodePath_Defaults!B:B,CodePath_Defaults!D:D,""),""))</f>
        <v/>
      </c>
      <c r="T96" t="s">
        <v>801</v>
      </c>
    </row>
    <row r="97" spans="12:20" x14ac:dyDescent="0.35">
      <c r="L97" t="str">
        <f ca="1">IFERROR(_xludf.XLOOKUP(C97,CodePath_Defaults!A:A,CodePath_Defaults!D:D,""),IFERROR(_xludf.XLOOKUP(B97,CodePath_Defaults!B:B,CodePath_Defaults!D:D,""),""))</f>
        <v/>
      </c>
      <c r="T97" t="s">
        <v>801</v>
      </c>
    </row>
    <row r="98" spans="12:20" x14ac:dyDescent="0.35">
      <c r="L98" t="str">
        <f ca="1">IFERROR(_xludf.XLOOKUP(C98,CodePath_Defaults!A:A,CodePath_Defaults!D:D,""),IFERROR(_xludf.XLOOKUP(B98,CodePath_Defaults!B:B,CodePath_Defaults!D:D,""),""))</f>
        <v/>
      </c>
      <c r="T98" t="s">
        <v>801</v>
      </c>
    </row>
    <row r="99" spans="12:20" x14ac:dyDescent="0.35">
      <c r="L99" t="str">
        <f ca="1">IFERROR(_xludf.XLOOKUP(C99,CodePath_Defaults!A:A,CodePath_Defaults!D:D,""),IFERROR(_xludf.XLOOKUP(B99,CodePath_Defaults!B:B,CodePath_Defaults!D:D,""),""))</f>
        <v/>
      </c>
      <c r="T99" t="s">
        <v>801</v>
      </c>
    </row>
    <row r="100" spans="12:20" x14ac:dyDescent="0.35">
      <c r="L100" t="str">
        <f ca="1">IFERROR(_xludf.XLOOKUP(C100,CodePath_Defaults!A:A,CodePath_Defaults!D:D,""),IFERROR(_xludf.XLOOKUP(B100,CodePath_Defaults!B:B,CodePath_Defaults!D:D,""),""))</f>
        <v/>
      </c>
      <c r="T100" t="s">
        <v>801</v>
      </c>
    </row>
    <row r="101" spans="12:20" x14ac:dyDescent="0.35">
      <c r="L101" t="str">
        <f ca="1">IFERROR(_xludf.XLOOKUP(C101,CodePath_Defaults!A:A,CodePath_Defaults!D:D,""),IFERROR(_xludf.XLOOKUP(B101,CodePath_Defaults!B:B,CodePath_Defaults!D:D,""),""))</f>
        <v/>
      </c>
      <c r="T101" t="s">
        <v>801</v>
      </c>
    </row>
    <row r="102" spans="12:20" x14ac:dyDescent="0.35">
      <c r="L102" t="str">
        <f ca="1">IFERROR(_xludf.XLOOKUP(C102,CodePath_Defaults!A:A,CodePath_Defaults!D:D,""),IFERROR(_xludf.XLOOKUP(B102,CodePath_Defaults!B:B,CodePath_Defaults!D:D,""),""))</f>
        <v/>
      </c>
      <c r="T102" t="s">
        <v>801</v>
      </c>
    </row>
    <row r="103" spans="12:20" x14ac:dyDescent="0.35">
      <c r="L103" t="str">
        <f ca="1">IFERROR(_xludf.XLOOKUP(C103,CodePath_Defaults!A:A,CodePath_Defaults!D:D,""),IFERROR(_xludf.XLOOKUP(B103,CodePath_Defaults!B:B,CodePath_Defaults!D:D,""),""))</f>
        <v/>
      </c>
      <c r="T103" t="s">
        <v>801</v>
      </c>
    </row>
    <row r="104" spans="12:20" x14ac:dyDescent="0.35">
      <c r="L104" t="str">
        <f ca="1">IFERROR(_xludf.XLOOKUP(C104,CodePath_Defaults!A:A,CodePath_Defaults!D:D,""),IFERROR(_xludf.XLOOKUP(B104,CodePath_Defaults!B:B,CodePath_Defaults!D:D,""),""))</f>
        <v/>
      </c>
      <c r="T104" t="s">
        <v>801</v>
      </c>
    </row>
    <row r="105" spans="12:20" x14ac:dyDescent="0.35">
      <c r="L105" t="str">
        <f ca="1">IFERROR(_xludf.XLOOKUP(C105,CodePath_Defaults!A:A,CodePath_Defaults!D:D,""),IFERROR(_xludf.XLOOKUP(B105,CodePath_Defaults!B:B,CodePath_Defaults!D:D,""),""))</f>
        <v/>
      </c>
      <c r="T105" t="s">
        <v>801</v>
      </c>
    </row>
    <row r="106" spans="12:20" x14ac:dyDescent="0.35">
      <c r="L106" t="str">
        <f ca="1">IFERROR(_xludf.XLOOKUP(C106,CodePath_Defaults!A:A,CodePath_Defaults!D:D,""),IFERROR(_xludf.XLOOKUP(B106,CodePath_Defaults!B:B,CodePath_Defaults!D:D,""),""))</f>
        <v/>
      </c>
      <c r="T106" t="s">
        <v>801</v>
      </c>
    </row>
    <row r="107" spans="12:20" x14ac:dyDescent="0.35">
      <c r="L107" t="str">
        <f ca="1">IFERROR(_xludf.XLOOKUP(C107,CodePath_Defaults!A:A,CodePath_Defaults!D:D,""),IFERROR(_xludf.XLOOKUP(B107,CodePath_Defaults!B:B,CodePath_Defaults!D:D,""),""))</f>
        <v/>
      </c>
      <c r="T107" t="s">
        <v>801</v>
      </c>
    </row>
    <row r="108" spans="12:20" x14ac:dyDescent="0.35">
      <c r="L108" t="str">
        <f ca="1">IFERROR(_xludf.XLOOKUP(C108,CodePath_Defaults!A:A,CodePath_Defaults!D:D,""),IFERROR(_xludf.XLOOKUP(B108,CodePath_Defaults!B:B,CodePath_Defaults!D:D,""),""))</f>
        <v/>
      </c>
      <c r="T108" t="s">
        <v>801</v>
      </c>
    </row>
    <row r="109" spans="12:20" x14ac:dyDescent="0.35">
      <c r="L109" t="str">
        <f ca="1">IFERROR(_xludf.XLOOKUP(C109,CodePath_Defaults!A:A,CodePath_Defaults!D:D,""),IFERROR(_xludf.XLOOKUP(B109,CodePath_Defaults!B:B,CodePath_Defaults!D:D,""),""))</f>
        <v/>
      </c>
      <c r="T109" t="s">
        <v>801</v>
      </c>
    </row>
    <row r="110" spans="12:20" x14ac:dyDescent="0.35">
      <c r="L110" t="str">
        <f ca="1">IFERROR(_xludf.XLOOKUP(C110,CodePath_Defaults!A:A,CodePath_Defaults!D:D,""),IFERROR(_xludf.XLOOKUP(B110,CodePath_Defaults!B:B,CodePath_Defaults!D:D,""),""))</f>
        <v/>
      </c>
      <c r="T110" t="s">
        <v>801</v>
      </c>
    </row>
    <row r="111" spans="12:20" x14ac:dyDescent="0.35">
      <c r="L111" t="str">
        <f ca="1">IFERROR(_xludf.XLOOKUP(C111,CodePath_Defaults!A:A,CodePath_Defaults!D:D,""),IFERROR(_xludf.XLOOKUP(B111,CodePath_Defaults!B:B,CodePath_Defaults!D:D,""),""))</f>
        <v/>
      </c>
      <c r="T111" t="s">
        <v>801</v>
      </c>
    </row>
    <row r="112" spans="12:20" x14ac:dyDescent="0.35">
      <c r="L112" t="str">
        <f ca="1">IFERROR(_xludf.XLOOKUP(C112,CodePath_Defaults!A:A,CodePath_Defaults!D:D,""),IFERROR(_xludf.XLOOKUP(B112,CodePath_Defaults!B:B,CodePath_Defaults!D:D,""),""))</f>
        <v/>
      </c>
      <c r="T112" t="s">
        <v>801</v>
      </c>
    </row>
    <row r="113" spans="12:20" x14ac:dyDescent="0.35">
      <c r="L113" t="str">
        <f ca="1">IFERROR(_xludf.XLOOKUP(C113,CodePath_Defaults!A:A,CodePath_Defaults!D:D,""),IFERROR(_xludf.XLOOKUP(B113,CodePath_Defaults!B:B,CodePath_Defaults!D:D,""),""))</f>
        <v/>
      </c>
      <c r="T113" t="s">
        <v>801</v>
      </c>
    </row>
    <row r="114" spans="12:20" x14ac:dyDescent="0.35">
      <c r="L114" t="str">
        <f ca="1">IFERROR(_xludf.XLOOKUP(C114,CodePath_Defaults!A:A,CodePath_Defaults!D:D,""),IFERROR(_xludf.XLOOKUP(B114,CodePath_Defaults!B:B,CodePath_Defaults!D:D,""),""))</f>
        <v/>
      </c>
      <c r="T114" t="s">
        <v>801</v>
      </c>
    </row>
    <row r="115" spans="12:20" x14ac:dyDescent="0.35">
      <c r="L115" t="str">
        <f ca="1">IFERROR(_xludf.XLOOKUP(C115,CodePath_Defaults!A:A,CodePath_Defaults!D:D,""),IFERROR(_xludf.XLOOKUP(B115,CodePath_Defaults!B:B,CodePath_Defaults!D:D,""),""))</f>
        <v/>
      </c>
      <c r="T115" t="s">
        <v>801</v>
      </c>
    </row>
    <row r="116" spans="12:20" x14ac:dyDescent="0.35">
      <c r="L116" t="str">
        <f ca="1">IFERROR(_xludf.XLOOKUP(C116,CodePath_Defaults!A:A,CodePath_Defaults!D:D,""),IFERROR(_xludf.XLOOKUP(B116,CodePath_Defaults!B:B,CodePath_Defaults!D:D,""),""))</f>
        <v/>
      </c>
      <c r="T116" t="s">
        <v>801</v>
      </c>
    </row>
    <row r="117" spans="12:20" x14ac:dyDescent="0.35">
      <c r="L117" t="str">
        <f ca="1">IFERROR(_xludf.XLOOKUP(C117,CodePath_Defaults!A:A,CodePath_Defaults!D:D,""),IFERROR(_xludf.XLOOKUP(B117,CodePath_Defaults!B:B,CodePath_Defaults!D:D,""),""))</f>
        <v/>
      </c>
      <c r="T117" t="s">
        <v>801</v>
      </c>
    </row>
    <row r="118" spans="12:20" x14ac:dyDescent="0.35">
      <c r="L118" t="str">
        <f ca="1">IFERROR(_xludf.XLOOKUP(C118,CodePath_Defaults!A:A,CodePath_Defaults!D:D,""),IFERROR(_xludf.XLOOKUP(B118,CodePath_Defaults!B:B,CodePath_Defaults!D:D,""),""))</f>
        <v/>
      </c>
      <c r="T118" t="s">
        <v>801</v>
      </c>
    </row>
    <row r="119" spans="12:20" x14ac:dyDescent="0.35">
      <c r="L119" t="str">
        <f ca="1">IFERROR(_xludf.XLOOKUP(C119,CodePath_Defaults!A:A,CodePath_Defaults!D:D,""),IFERROR(_xludf.XLOOKUP(B119,CodePath_Defaults!B:B,CodePath_Defaults!D:D,""),""))</f>
        <v/>
      </c>
      <c r="T119" t="s">
        <v>801</v>
      </c>
    </row>
    <row r="120" spans="12:20" x14ac:dyDescent="0.35">
      <c r="L120" t="str">
        <f ca="1">IFERROR(_xludf.XLOOKUP(C120,CodePath_Defaults!A:A,CodePath_Defaults!D:D,""),IFERROR(_xludf.XLOOKUP(B120,CodePath_Defaults!B:B,CodePath_Defaults!D:D,""),""))</f>
        <v/>
      </c>
      <c r="T120" t="s">
        <v>801</v>
      </c>
    </row>
    <row r="121" spans="12:20" x14ac:dyDescent="0.35">
      <c r="L121" t="str">
        <f ca="1">IFERROR(_xludf.XLOOKUP(C121,CodePath_Defaults!A:A,CodePath_Defaults!D:D,""),IFERROR(_xludf.XLOOKUP(B121,CodePath_Defaults!B:B,CodePath_Defaults!D:D,""),""))</f>
        <v/>
      </c>
      <c r="T121" t="s">
        <v>801</v>
      </c>
    </row>
    <row r="122" spans="12:20" x14ac:dyDescent="0.35">
      <c r="L122" t="str">
        <f ca="1">IFERROR(_xludf.XLOOKUP(C122,CodePath_Defaults!A:A,CodePath_Defaults!D:D,""),IFERROR(_xludf.XLOOKUP(B122,CodePath_Defaults!B:B,CodePath_Defaults!D:D,""),""))</f>
        <v/>
      </c>
      <c r="T122" t="s">
        <v>801</v>
      </c>
    </row>
    <row r="123" spans="12:20" x14ac:dyDescent="0.35">
      <c r="L123" t="str">
        <f ca="1">IFERROR(_xludf.XLOOKUP(C123,CodePath_Defaults!A:A,CodePath_Defaults!D:D,""),IFERROR(_xludf.XLOOKUP(B123,CodePath_Defaults!B:B,CodePath_Defaults!D:D,""),""))</f>
        <v/>
      </c>
      <c r="T123" t="s">
        <v>801</v>
      </c>
    </row>
    <row r="124" spans="12:20" x14ac:dyDescent="0.35">
      <c r="L124" t="str">
        <f ca="1">IFERROR(_xludf.XLOOKUP(C124,CodePath_Defaults!A:A,CodePath_Defaults!D:D,""),IFERROR(_xludf.XLOOKUP(B124,CodePath_Defaults!B:B,CodePath_Defaults!D:D,""),""))</f>
        <v/>
      </c>
      <c r="T124" t="s">
        <v>801</v>
      </c>
    </row>
    <row r="125" spans="12:20" x14ac:dyDescent="0.35">
      <c r="L125" t="str">
        <f ca="1">IFERROR(_xludf.XLOOKUP(C125,CodePath_Defaults!A:A,CodePath_Defaults!D:D,""),IFERROR(_xludf.XLOOKUP(B125,CodePath_Defaults!B:B,CodePath_Defaults!D:D,""),""))</f>
        <v/>
      </c>
      <c r="T125" t="s">
        <v>801</v>
      </c>
    </row>
    <row r="126" spans="12:20" x14ac:dyDescent="0.35">
      <c r="L126" t="str">
        <f ca="1">IFERROR(_xludf.XLOOKUP(C126,CodePath_Defaults!A:A,CodePath_Defaults!D:D,""),IFERROR(_xludf.XLOOKUP(B126,CodePath_Defaults!B:B,CodePath_Defaults!D:D,""),""))</f>
        <v/>
      </c>
      <c r="T126" t="s">
        <v>801</v>
      </c>
    </row>
    <row r="127" spans="12:20" x14ac:dyDescent="0.35">
      <c r="L127" t="str">
        <f ca="1">IFERROR(_xludf.XLOOKUP(C127,CodePath_Defaults!A:A,CodePath_Defaults!D:D,""),IFERROR(_xludf.XLOOKUP(B127,CodePath_Defaults!B:B,CodePath_Defaults!D:D,""),""))</f>
        <v/>
      </c>
      <c r="T127" t="s">
        <v>801</v>
      </c>
    </row>
    <row r="128" spans="12:20" x14ac:dyDescent="0.35">
      <c r="L128" t="str">
        <f ca="1">IFERROR(_xludf.XLOOKUP(C128,CodePath_Defaults!A:A,CodePath_Defaults!D:D,""),IFERROR(_xludf.XLOOKUP(B128,CodePath_Defaults!B:B,CodePath_Defaults!D:D,""),""))</f>
        <v/>
      </c>
      <c r="T128" t="s">
        <v>801</v>
      </c>
    </row>
    <row r="129" spans="12:20" x14ac:dyDescent="0.35">
      <c r="L129" t="str">
        <f ca="1">IFERROR(_xludf.XLOOKUP(C129,CodePath_Defaults!A:A,CodePath_Defaults!D:D,""),IFERROR(_xludf.XLOOKUP(B129,CodePath_Defaults!B:B,CodePath_Defaults!D:D,""),""))</f>
        <v/>
      </c>
      <c r="T129" t="s">
        <v>801</v>
      </c>
    </row>
    <row r="130" spans="12:20" x14ac:dyDescent="0.35">
      <c r="L130" t="str">
        <f ca="1">IFERROR(_xludf.XLOOKUP(C130,CodePath_Defaults!A:A,CodePath_Defaults!D:D,""),IFERROR(_xludf.XLOOKUP(B130,CodePath_Defaults!B:B,CodePath_Defaults!D:D,""),""))</f>
        <v/>
      </c>
      <c r="T130" t="s">
        <v>801</v>
      </c>
    </row>
    <row r="131" spans="12:20" x14ac:dyDescent="0.35">
      <c r="L131" t="str">
        <f ca="1">IFERROR(_xludf.XLOOKUP(C131,CodePath_Defaults!A:A,CodePath_Defaults!D:D,""),IFERROR(_xludf.XLOOKUP(B131,CodePath_Defaults!B:B,CodePath_Defaults!D:D,""),""))</f>
        <v/>
      </c>
      <c r="T131" t="s">
        <v>801</v>
      </c>
    </row>
    <row r="132" spans="12:20" x14ac:dyDescent="0.35">
      <c r="L132" t="str">
        <f ca="1">IFERROR(_xludf.XLOOKUP(C132,CodePath_Defaults!A:A,CodePath_Defaults!D:D,""),IFERROR(_xludf.XLOOKUP(B132,CodePath_Defaults!B:B,CodePath_Defaults!D:D,""),""))</f>
        <v/>
      </c>
      <c r="T132" t="s">
        <v>801</v>
      </c>
    </row>
    <row r="133" spans="12:20" x14ac:dyDescent="0.35">
      <c r="L133" t="str">
        <f ca="1">IFERROR(_xludf.XLOOKUP(C133,CodePath_Defaults!A:A,CodePath_Defaults!D:D,""),IFERROR(_xludf.XLOOKUP(B133,CodePath_Defaults!B:B,CodePath_Defaults!D:D,""),""))</f>
        <v/>
      </c>
      <c r="T133" t="s">
        <v>801</v>
      </c>
    </row>
    <row r="134" spans="12:20" x14ac:dyDescent="0.35">
      <c r="L134" t="str">
        <f ca="1">IFERROR(_xludf.XLOOKUP(C134,CodePath_Defaults!A:A,CodePath_Defaults!D:D,""),IFERROR(_xludf.XLOOKUP(B134,CodePath_Defaults!B:B,CodePath_Defaults!D:D,""),""))</f>
        <v/>
      </c>
      <c r="T134" t="s">
        <v>801</v>
      </c>
    </row>
    <row r="135" spans="12:20" x14ac:dyDescent="0.35">
      <c r="L135" t="str">
        <f ca="1">IFERROR(_xludf.XLOOKUP(C135,CodePath_Defaults!A:A,CodePath_Defaults!D:D,""),IFERROR(_xludf.XLOOKUP(B135,CodePath_Defaults!B:B,CodePath_Defaults!D:D,""),""))</f>
        <v/>
      </c>
      <c r="T135" t="s">
        <v>801</v>
      </c>
    </row>
    <row r="136" spans="12:20" x14ac:dyDescent="0.35">
      <c r="L136" t="str">
        <f ca="1">IFERROR(_xludf.XLOOKUP(C136,CodePath_Defaults!A:A,CodePath_Defaults!D:D,""),IFERROR(_xludf.XLOOKUP(B136,CodePath_Defaults!B:B,CodePath_Defaults!D:D,""),""))</f>
        <v/>
      </c>
      <c r="T136" t="s">
        <v>801</v>
      </c>
    </row>
    <row r="137" spans="12:20" x14ac:dyDescent="0.35">
      <c r="L137" t="str">
        <f ca="1">IFERROR(_xludf.XLOOKUP(C137,CodePath_Defaults!A:A,CodePath_Defaults!D:D,""),IFERROR(_xludf.XLOOKUP(B137,CodePath_Defaults!B:B,CodePath_Defaults!D:D,""),""))</f>
        <v/>
      </c>
      <c r="T137" t="s">
        <v>801</v>
      </c>
    </row>
    <row r="138" spans="12:20" x14ac:dyDescent="0.35">
      <c r="L138" t="str">
        <f ca="1">IFERROR(_xludf.XLOOKUP(C138,CodePath_Defaults!A:A,CodePath_Defaults!D:D,""),IFERROR(_xludf.XLOOKUP(B138,CodePath_Defaults!B:B,CodePath_Defaults!D:D,""),""))</f>
        <v/>
      </c>
      <c r="T138" t="s">
        <v>801</v>
      </c>
    </row>
    <row r="139" spans="12:20" x14ac:dyDescent="0.35">
      <c r="L139" t="str">
        <f ca="1">IFERROR(_xludf.XLOOKUP(C139,CodePath_Defaults!A:A,CodePath_Defaults!D:D,""),IFERROR(_xludf.XLOOKUP(B139,CodePath_Defaults!B:B,CodePath_Defaults!D:D,""),""))</f>
        <v/>
      </c>
      <c r="T139" t="s">
        <v>801</v>
      </c>
    </row>
    <row r="140" spans="12:20" x14ac:dyDescent="0.35">
      <c r="L140" t="str">
        <f ca="1">IFERROR(_xludf.XLOOKUP(C140,CodePath_Defaults!A:A,CodePath_Defaults!D:D,""),IFERROR(_xludf.XLOOKUP(B140,CodePath_Defaults!B:B,CodePath_Defaults!D:D,""),""))</f>
        <v/>
      </c>
      <c r="T140" t="s">
        <v>801</v>
      </c>
    </row>
    <row r="141" spans="12:20" x14ac:dyDescent="0.35">
      <c r="L141" t="str">
        <f ca="1">IFERROR(_xludf.XLOOKUP(C141,CodePath_Defaults!A:A,CodePath_Defaults!D:D,""),IFERROR(_xludf.XLOOKUP(B141,CodePath_Defaults!B:B,CodePath_Defaults!D:D,""),""))</f>
        <v/>
      </c>
      <c r="T141" t="s">
        <v>801</v>
      </c>
    </row>
    <row r="142" spans="12:20" x14ac:dyDescent="0.35">
      <c r="L142" t="str">
        <f ca="1">IFERROR(_xludf.XLOOKUP(C142,CodePath_Defaults!A:A,CodePath_Defaults!D:D,""),IFERROR(_xludf.XLOOKUP(B142,CodePath_Defaults!B:B,CodePath_Defaults!D:D,""),""))</f>
        <v/>
      </c>
      <c r="T142" t="s">
        <v>801</v>
      </c>
    </row>
    <row r="143" spans="12:20" x14ac:dyDescent="0.35">
      <c r="L143" t="str">
        <f ca="1">IFERROR(_xludf.XLOOKUP(C143,CodePath_Defaults!A:A,CodePath_Defaults!D:D,""),IFERROR(_xludf.XLOOKUP(B143,CodePath_Defaults!B:B,CodePath_Defaults!D:D,""),""))</f>
        <v/>
      </c>
      <c r="T143" t="s">
        <v>801</v>
      </c>
    </row>
    <row r="144" spans="12:20" x14ac:dyDescent="0.35">
      <c r="L144" t="str">
        <f ca="1">IFERROR(_xludf.XLOOKUP(C144,CodePath_Defaults!A:A,CodePath_Defaults!D:D,""),IFERROR(_xludf.XLOOKUP(B144,CodePath_Defaults!B:B,CodePath_Defaults!D:D,""),""))</f>
        <v/>
      </c>
      <c r="T144" t="s">
        <v>801</v>
      </c>
    </row>
    <row r="145" spans="12:20" x14ac:dyDescent="0.35">
      <c r="L145" t="str">
        <f ca="1">IFERROR(_xludf.XLOOKUP(C145,CodePath_Defaults!A:A,CodePath_Defaults!D:D,""),IFERROR(_xludf.XLOOKUP(B145,CodePath_Defaults!B:B,CodePath_Defaults!D:D,""),""))</f>
        <v/>
      </c>
      <c r="T145" t="s">
        <v>801</v>
      </c>
    </row>
    <row r="146" spans="12:20" x14ac:dyDescent="0.35">
      <c r="L146" t="str">
        <f ca="1">IFERROR(_xludf.XLOOKUP(C146,CodePath_Defaults!A:A,CodePath_Defaults!D:D,""),IFERROR(_xludf.XLOOKUP(B146,CodePath_Defaults!B:B,CodePath_Defaults!D:D,""),""))</f>
        <v/>
      </c>
      <c r="T146" t="s">
        <v>801</v>
      </c>
    </row>
    <row r="147" spans="12:20" x14ac:dyDescent="0.35">
      <c r="L147" t="str">
        <f ca="1">IFERROR(_xludf.XLOOKUP(C147,CodePath_Defaults!A:A,CodePath_Defaults!D:D,""),IFERROR(_xludf.XLOOKUP(B147,CodePath_Defaults!B:B,CodePath_Defaults!D:D,""),""))</f>
        <v/>
      </c>
      <c r="T147" t="s">
        <v>801</v>
      </c>
    </row>
    <row r="148" spans="12:20" x14ac:dyDescent="0.35">
      <c r="L148" t="str">
        <f ca="1">IFERROR(_xludf.XLOOKUP(C148,CodePath_Defaults!A:A,CodePath_Defaults!D:D,""),IFERROR(_xludf.XLOOKUP(B148,CodePath_Defaults!B:B,CodePath_Defaults!D:D,""),""))</f>
        <v/>
      </c>
      <c r="T148" t="s">
        <v>801</v>
      </c>
    </row>
    <row r="149" spans="12:20" x14ac:dyDescent="0.35">
      <c r="L149" t="str">
        <f ca="1">IFERROR(_xludf.XLOOKUP(C149,CodePath_Defaults!A:A,CodePath_Defaults!D:D,""),IFERROR(_xludf.XLOOKUP(B149,CodePath_Defaults!B:B,CodePath_Defaults!D:D,""),""))</f>
        <v/>
      </c>
      <c r="T149" t="s">
        <v>801</v>
      </c>
    </row>
    <row r="150" spans="12:20" x14ac:dyDescent="0.35">
      <c r="L150" t="str">
        <f ca="1">IFERROR(_xludf.XLOOKUP(C150,CodePath_Defaults!A:A,CodePath_Defaults!D:D,""),IFERROR(_xludf.XLOOKUP(B150,CodePath_Defaults!B:B,CodePath_Defaults!D:D,""),""))</f>
        <v/>
      </c>
      <c r="T150" t="s">
        <v>801</v>
      </c>
    </row>
    <row r="151" spans="12:20" x14ac:dyDescent="0.35">
      <c r="L151" t="str">
        <f ca="1">IFERROR(_xludf.XLOOKUP(C151,CodePath_Defaults!A:A,CodePath_Defaults!D:D,""),IFERROR(_xludf.XLOOKUP(B151,CodePath_Defaults!B:B,CodePath_Defaults!D:D,""),""))</f>
        <v/>
      </c>
      <c r="T151" t="s">
        <v>801</v>
      </c>
    </row>
    <row r="152" spans="12:20" x14ac:dyDescent="0.35">
      <c r="L152" t="str">
        <f ca="1">IFERROR(_xludf.XLOOKUP(C152,CodePath_Defaults!A:A,CodePath_Defaults!D:D,""),IFERROR(_xludf.XLOOKUP(B152,CodePath_Defaults!B:B,CodePath_Defaults!D:D,""),""))</f>
        <v/>
      </c>
      <c r="T152" t="s">
        <v>801</v>
      </c>
    </row>
    <row r="153" spans="12:20" x14ac:dyDescent="0.35">
      <c r="L153" t="str">
        <f ca="1">IFERROR(_xludf.XLOOKUP(C153,CodePath_Defaults!A:A,CodePath_Defaults!D:D,""),IFERROR(_xludf.XLOOKUP(B153,CodePath_Defaults!B:B,CodePath_Defaults!D:D,""),""))</f>
        <v/>
      </c>
      <c r="T153" t="s">
        <v>801</v>
      </c>
    </row>
    <row r="154" spans="12:20" x14ac:dyDescent="0.35">
      <c r="L154" t="str">
        <f ca="1">IFERROR(_xludf.XLOOKUP(C154,CodePath_Defaults!A:A,CodePath_Defaults!D:D,""),IFERROR(_xludf.XLOOKUP(B154,CodePath_Defaults!B:B,CodePath_Defaults!D:D,""),""))</f>
        <v/>
      </c>
      <c r="T154" t="s">
        <v>801</v>
      </c>
    </row>
    <row r="155" spans="12:20" x14ac:dyDescent="0.35">
      <c r="L155" t="str">
        <f ca="1">IFERROR(_xludf.XLOOKUP(C155,CodePath_Defaults!A:A,CodePath_Defaults!D:D,""),IFERROR(_xludf.XLOOKUP(B155,CodePath_Defaults!B:B,CodePath_Defaults!D:D,""),""))</f>
        <v/>
      </c>
      <c r="T155" t="s">
        <v>801</v>
      </c>
    </row>
    <row r="156" spans="12:20" x14ac:dyDescent="0.35">
      <c r="L156" t="str">
        <f ca="1">IFERROR(_xludf.XLOOKUP(C156,CodePath_Defaults!A:A,CodePath_Defaults!D:D,""),IFERROR(_xludf.XLOOKUP(B156,CodePath_Defaults!B:B,CodePath_Defaults!D:D,""),""))</f>
        <v/>
      </c>
      <c r="T156" t="s">
        <v>801</v>
      </c>
    </row>
    <row r="157" spans="12:20" x14ac:dyDescent="0.35">
      <c r="L157" t="str">
        <f ca="1">IFERROR(_xludf.XLOOKUP(C157,CodePath_Defaults!A:A,CodePath_Defaults!D:D,""),IFERROR(_xludf.XLOOKUP(B157,CodePath_Defaults!B:B,CodePath_Defaults!D:D,""),""))</f>
        <v/>
      </c>
      <c r="T157" t="s">
        <v>801</v>
      </c>
    </row>
    <row r="158" spans="12:20" x14ac:dyDescent="0.35">
      <c r="L158" t="str">
        <f ca="1">IFERROR(_xludf.XLOOKUP(C158,CodePath_Defaults!A:A,CodePath_Defaults!D:D,""),IFERROR(_xludf.XLOOKUP(B158,CodePath_Defaults!B:B,CodePath_Defaults!D:D,""),""))</f>
        <v/>
      </c>
      <c r="T158" t="s">
        <v>801</v>
      </c>
    </row>
    <row r="159" spans="12:20" x14ac:dyDescent="0.35">
      <c r="L159" t="str">
        <f ca="1">IFERROR(_xludf.XLOOKUP(C159,CodePath_Defaults!A:A,CodePath_Defaults!D:D,""),IFERROR(_xludf.XLOOKUP(B159,CodePath_Defaults!B:B,CodePath_Defaults!D:D,""),""))</f>
        <v/>
      </c>
      <c r="T159" t="s">
        <v>801</v>
      </c>
    </row>
    <row r="160" spans="12:20" x14ac:dyDescent="0.35">
      <c r="L160" t="str">
        <f ca="1">IFERROR(_xludf.XLOOKUP(C160,CodePath_Defaults!A:A,CodePath_Defaults!D:D,""),IFERROR(_xludf.XLOOKUP(B160,CodePath_Defaults!B:B,CodePath_Defaults!D:D,""),""))</f>
        <v/>
      </c>
      <c r="T160" t="s">
        <v>801</v>
      </c>
    </row>
    <row r="161" spans="12:20" x14ac:dyDescent="0.35">
      <c r="L161" t="str">
        <f ca="1">IFERROR(_xludf.XLOOKUP(C161,CodePath_Defaults!A:A,CodePath_Defaults!D:D,""),IFERROR(_xludf.XLOOKUP(B161,CodePath_Defaults!B:B,CodePath_Defaults!D:D,""),""))</f>
        <v/>
      </c>
      <c r="T161" t="s">
        <v>801</v>
      </c>
    </row>
    <row r="162" spans="12:20" x14ac:dyDescent="0.35">
      <c r="L162" t="str">
        <f ca="1">IFERROR(_xludf.XLOOKUP(C162,CodePath_Defaults!A:A,CodePath_Defaults!D:D,""),IFERROR(_xludf.XLOOKUP(B162,CodePath_Defaults!B:B,CodePath_Defaults!D:D,""),""))</f>
        <v/>
      </c>
      <c r="T162" t="s">
        <v>801</v>
      </c>
    </row>
    <row r="163" spans="12:20" x14ac:dyDescent="0.35">
      <c r="L163" t="str">
        <f ca="1">IFERROR(_xludf.XLOOKUP(C163,CodePath_Defaults!A:A,CodePath_Defaults!D:D,""),IFERROR(_xludf.XLOOKUP(B163,CodePath_Defaults!B:B,CodePath_Defaults!D:D,""),""))</f>
        <v/>
      </c>
      <c r="T163" t="s">
        <v>801</v>
      </c>
    </row>
    <row r="164" spans="12:20" x14ac:dyDescent="0.35">
      <c r="L164" t="str">
        <f ca="1">IFERROR(_xludf.XLOOKUP(C164,CodePath_Defaults!A:A,CodePath_Defaults!D:D,""),IFERROR(_xludf.XLOOKUP(B164,CodePath_Defaults!B:B,CodePath_Defaults!D:D,""),""))</f>
        <v/>
      </c>
      <c r="T164" t="s">
        <v>801</v>
      </c>
    </row>
    <row r="165" spans="12:20" x14ac:dyDescent="0.35">
      <c r="L165" t="str">
        <f ca="1">IFERROR(_xludf.XLOOKUP(C165,CodePath_Defaults!A:A,CodePath_Defaults!D:D,""),IFERROR(_xludf.XLOOKUP(B165,CodePath_Defaults!B:B,CodePath_Defaults!D:D,""),""))</f>
        <v/>
      </c>
      <c r="T165" t="s">
        <v>801</v>
      </c>
    </row>
    <row r="166" spans="12:20" x14ac:dyDescent="0.35">
      <c r="L166" t="str">
        <f ca="1">IFERROR(_xludf.XLOOKUP(C166,CodePath_Defaults!A:A,CodePath_Defaults!D:D,""),IFERROR(_xludf.XLOOKUP(B166,CodePath_Defaults!B:B,CodePath_Defaults!D:D,""),""))</f>
        <v/>
      </c>
      <c r="T166" t="s">
        <v>801</v>
      </c>
    </row>
    <row r="167" spans="12:20" x14ac:dyDescent="0.35">
      <c r="L167" t="str">
        <f ca="1">IFERROR(_xludf.XLOOKUP(C167,CodePath_Defaults!A:A,CodePath_Defaults!D:D,""),IFERROR(_xludf.XLOOKUP(B167,CodePath_Defaults!B:B,CodePath_Defaults!D:D,""),""))</f>
        <v/>
      </c>
      <c r="T167" t="s">
        <v>801</v>
      </c>
    </row>
    <row r="168" spans="12:20" x14ac:dyDescent="0.35">
      <c r="L168" t="str">
        <f ca="1">IFERROR(_xludf.XLOOKUP(C168,CodePath_Defaults!A:A,CodePath_Defaults!D:D,""),IFERROR(_xludf.XLOOKUP(B168,CodePath_Defaults!B:B,CodePath_Defaults!D:D,""),""))</f>
        <v/>
      </c>
      <c r="T168" t="s">
        <v>801</v>
      </c>
    </row>
    <row r="169" spans="12:20" x14ac:dyDescent="0.35">
      <c r="L169" t="str">
        <f ca="1">IFERROR(_xludf.XLOOKUP(C169,CodePath_Defaults!A:A,CodePath_Defaults!D:D,""),IFERROR(_xludf.XLOOKUP(B169,CodePath_Defaults!B:B,CodePath_Defaults!D:D,""),""))</f>
        <v/>
      </c>
      <c r="T169" t="s">
        <v>801</v>
      </c>
    </row>
    <row r="170" spans="12:20" x14ac:dyDescent="0.35">
      <c r="L170" t="str">
        <f ca="1">IFERROR(_xludf.XLOOKUP(C170,CodePath_Defaults!A:A,CodePath_Defaults!D:D,""),IFERROR(_xludf.XLOOKUP(B170,CodePath_Defaults!B:B,CodePath_Defaults!D:D,""),""))</f>
        <v/>
      </c>
      <c r="T170" t="s">
        <v>801</v>
      </c>
    </row>
    <row r="171" spans="12:20" x14ac:dyDescent="0.35">
      <c r="L171" t="str">
        <f ca="1">IFERROR(_xludf.XLOOKUP(C171,CodePath_Defaults!A:A,CodePath_Defaults!D:D,""),IFERROR(_xludf.XLOOKUP(B171,CodePath_Defaults!B:B,CodePath_Defaults!D:D,""),""))</f>
        <v/>
      </c>
      <c r="T171" t="s">
        <v>801</v>
      </c>
    </row>
    <row r="172" spans="12:20" x14ac:dyDescent="0.35">
      <c r="L172" t="str">
        <f ca="1">IFERROR(_xludf.XLOOKUP(C172,CodePath_Defaults!A:A,CodePath_Defaults!D:D,""),IFERROR(_xludf.XLOOKUP(B172,CodePath_Defaults!B:B,CodePath_Defaults!D:D,""),""))</f>
        <v/>
      </c>
      <c r="T172" t="s">
        <v>801</v>
      </c>
    </row>
    <row r="173" spans="12:20" x14ac:dyDescent="0.35">
      <c r="L173" t="str">
        <f ca="1">IFERROR(_xludf.XLOOKUP(C173,CodePath_Defaults!A:A,CodePath_Defaults!D:D,""),IFERROR(_xludf.XLOOKUP(B173,CodePath_Defaults!B:B,CodePath_Defaults!D:D,""),""))</f>
        <v/>
      </c>
      <c r="T173" t="s">
        <v>801</v>
      </c>
    </row>
    <row r="174" spans="12:20" x14ac:dyDescent="0.35">
      <c r="L174" t="str">
        <f ca="1">IFERROR(_xludf.XLOOKUP(C174,CodePath_Defaults!A:A,CodePath_Defaults!D:D,""),IFERROR(_xludf.XLOOKUP(B174,CodePath_Defaults!B:B,CodePath_Defaults!D:D,""),""))</f>
        <v/>
      </c>
      <c r="T174" t="s">
        <v>801</v>
      </c>
    </row>
    <row r="175" spans="12:20" x14ac:dyDescent="0.35">
      <c r="L175" t="str">
        <f ca="1">IFERROR(_xludf.XLOOKUP(C175,CodePath_Defaults!A:A,CodePath_Defaults!D:D,""),IFERROR(_xludf.XLOOKUP(B175,CodePath_Defaults!B:B,CodePath_Defaults!D:D,""),""))</f>
        <v/>
      </c>
      <c r="T175" t="s">
        <v>801</v>
      </c>
    </row>
    <row r="176" spans="12:20" x14ac:dyDescent="0.35">
      <c r="L176" t="str">
        <f ca="1">IFERROR(_xludf.XLOOKUP(C176,CodePath_Defaults!A:A,CodePath_Defaults!D:D,""),IFERROR(_xludf.XLOOKUP(B176,CodePath_Defaults!B:B,CodePath_Defaults!D:D,""),""))</f>
        <v/>
      </c>
      <c r="T176" t="s">
        <v>801</v>
      </c>
    </row>
    <row r="177" spans="12:20" x14ac:dyDescent="0.35">
      <c r="L177" t="str">
        <f ca="1">IFERROR(_xludf.XLOOKUP(C177,CodePath_Defaults!A:A,CodePath_Defaults!D:D,""),IFERROR(_xludf.XLOOKUP(B177,CodePath_Defaults!B:B,CodePath_Defaults!D:D,""),""))</f>
        <v/>
      </c>
      <c r="T177" t="s">
        <v>801</v>
      </c>
    </row>
    <row r="178" spans="12:20" x14ac:dyDescent="0.35">
      <c r="L178" t="str">
        <f ca="1">IFERROR(_xludf.XLOOKUP(C178,CodePath_Defaults!A:A,CodePath_Defaults!D:D,""),IFERROR(_xludf.XLOOKUP(B178,CodePath_Defaults!B:B,CodePath_Defaults!D:D,""),""))</f>
        <v/>
      </c>
      <c r="T178" t="s">
        <v>801</v>
      </c>
    </row>
    <row r="179" spans="12:20" x14ac:dyDescent="0.35">
      <c r="L179" t="str">
        <f ca="1">IFERROR(_xludf.XLOOKUP(C179,CodePath_Defaults!A:A,CodePath_Defaults!D:D,""),IFERROR(_xludf.XLOOKUP(B179,CodePath_Defaults!B:B,CodePath_Defaults!D:D,""),""))</f>
        <v/>
      </c>
      <c r="T179" t="s">
        <v>801</v>
      </c>
    </row>
    <row r="180" spans="12:20" x14ac:dyDescent="0.35">
      <c r="L180" t="str">
        <f ca="1">IFERROR(_xludf.XLOOKUP(C180,CodePath_Defaults!A:A,CodePath_Defaults!D:D,""),IFERROR(_xludf.XLOOKUP(B180,CodePath_Defaults!B:B,CodePath_Defaults!D:D,""),""))</f>
        <v/>
      </c>
      <c r="T180" t="s">
        <v>801</v>
      </c>
    </row>
    <row r="181" spans="12:20" x14ac:dyDescent="0.35">
      <c r="L181" t="str">
        <f ca="1">IFERROR(_xludf.XLOOKUP(C181,CodePath_Defaults!A:A,CodePath_Defaults!D:D,""),IFERROR(_xludf.XLOOKUP(B181,CodePath_Defaults!B:B,CodePath_Defaults!D:D,""),""))</f>
        <v/>
      </c>
      <c r="T181" t="s">
        <v>801</v>
      </c>
    </row>
    <row r="182" spans="12:20" x14ac:dyDescent="0.35">
      <c r="L182" t="str">
        <f ca="1">IFERROR(_xludf.XLOOKUP(C182,CodePath_Defaults!A:A,CodePath_Defaults!D:D,""),IFERROR(_xludf.XLOOKUP(B182,CodePath_Defaults!B:B,CodePath_Defaults!D:D,""),""))</f>
        <v/>
      </c>
      <c r="T182" t="s">
        <v>801</v>
      </c>
    </row>
    <row r="183" spans="12:20" x14ac:dyDescent="0.35">
      <c r="L183" t="str">
        <f ca="1">IFERROR(_xludf.XLOOKUP(C183,CodePath_Defaults!A:A,CodePath_Defaults!D:D,""),IFERROR(_xludf.XLOOKUP(B183,CodePath_Defaults!B:B,CodePath_Defaults!D:D,""),""))</f>
        <v/>
      </c>
      <c r="T183" t="s">
        <v>801</v>
      </c>
    </row>
    <row r="184" spans="12:20" x14ac:dyDescent="0.35">
      <c r="L184" t="str">
        <f ca="1">IFERROR(_xludf.XLOOKUP(C184,CodePath_Defaults!A:A,CodePath_Defaults!D:D,""),IFERROR(_xludf.XLOOKUP(B184,CodePath_Defaults!B:B,CodePath_Defaults!D:D,""),""))</f>
        <v/>
      </c>
      <c r="T184" t="s">
        <v>801</v>
      </c>
    </row>
    <row r="185" spans="12:20" x14ac:dyDescent="0.35">
      <c r="L185" t="str">
        <f ca="1">IFERROR(_xludf.XLOOKUP(C185,CodePath_Defaults!A:A,CodePath_Defaults!D:D,""),IFERROR(_xludf.XLOOKUP(B185,CodePath_Defaults!B:B,CodePath_Defaults!D:D,""),""))</f>
        <v/>
      </c>
      <c r="T185" t="s">
        <v>801</v>
      </c>
    </row>
    <row r="186" spans="12:20" x14ac:dyDescent="0.35">
      <c r="L186" t="str">
        <f ca="1">IFERROR(_xludf.XLOOKUP(C186,CodePath_Defaults!A:A,CodePath_Defaults!D:D,""),IFERROR(_xludf.XLOOKUP(B186,CodePath_Defaults!B:B,CodePath_Defaults!D:D,""),""))</f>
        <v/>
      </c>
      <c r="T186" t="s">
        <v>801</v>
      </c>
    </row>
    <row r="187" spans="12:20" x14ac:dyDescent="0.35">
      <c r="L187" t="str">
        <f ca="1">IFERROR(_xludf.XLOOKUP(C187,CodePath_Defaults!A:A,CodePath_Defaults!D:D,""),IFERROR(_xludf.XLOOKUP(B187,CodePath_Defaults!B:B,CodePath_Defaults!D:D,""),""))</f>
        <v/>
      </c>
      <c r="T187" t="s">
        <v>801</v>
      </c>
    </row>
    <row r="188" spans="12:20" x14ac:dyDescent="0.35">
      <c r="L188" t="str">
        <f ca="1">IFERROR(_xludf.XLOOKUP(C188,CodePath_Defaults!A:A,CodePath_Defaults!D:D,""),IFERROR(_xludf.XLOOKUP(B188,CodePath_Defaults!B:B,CodePath_Defaults!D:D,""),""))</f>
        <v/>
      </c>
      <c r="T188" t="s">
        <v>801</v>
      </c>
    </row>
    <row r="189" spans="12:20" x14ac:dyDescent="0.35">
      <c r="L189" t="str">
        <f ca="1">IFERROR(_xludf.XLOOKUP(C189,CodePath_Defaults!A:A,CodePath_Defaults!D:D,""),IFERROR(_xludf.XLOOKUP(B189,CodePath_Defaults!B:B,CodePath_Defaults!D:D,""),""))</f>
        <v/>
      </c>
      <c r="T189" t="s">
        <v>801</v>
      </c>
    </row>
    <row r="190" spans="12:20" x14ac:dyDescent="0.35">
      <c r="L190" t="str">
        <f ca="1">IFERROR(_xludf.XLOOKUP(C190,CodePath_Defaults!A:A,CodePath_Defaults!D:D,""),IFERROR(_xludf.XLOOKUP(B190,CodePath_Defaults!B:B,CodePath_Defaults!D:D,""),""))</f>
        <v/>
      </c>
      <c r="T190" t="s">
        <v>801</v>
      </c>
    </row>
    <row r="191" spans="12:20" x14ac:dyDescent="0.35">
      <c r="L191" t="str">
        <f ca="1">IFERROR(_xludf.XLOOKUP(C191,CodePath_Defaults!A:A,CodePath_Defaults!D:D,""),IFERROR(_xludf.XLOOKUP(B191,CodePath_Defaults!B:B,CodePath_Defaults!D:D,""),""))</f>
        <v/>
      </c>
      <c r="T191" t="s">
        <v>801</v>
      </c>
    </row>
    <row r="192" spans="12:20" x14ac:dyDescent="0.35">
      <c r="L192" t="str">
        <f ca="1">IFERROR(_xludf.XLOOKUP(C192,CodePath_Defaults!A:A,CodePath_Defaults!D:D,""),IFERROR(_xludf.XLOOKUP(B192,CodePath_Defaults!B:B,CodePath_Defaults!D:D,""),""))</f>
        <v/>
      </c>
      <c r="T192" t="s">
        <v>801</v>
      </c>
    </row>
    <row r="193" spans="12:20" x14ac:dyDescent="0.35">
      <c r="L193" t="str">
        <f ca="1">IFERROR(_xludf.XLOOKUP(C193,CodePath_Defaults!A:A,CodePath_Defaults!D:D,""),IFERROR(_xludf.XLOOKUP(B193,CodePath_Defaults!B:B,CodePath_Defaults!D:D,""),""))</f>
        <v/>
      </c>
      <c r="T193" t="s">
        <v>801</v>
      </c>
    </row>
    <row r="194" spans="12:20" x14ac:dyDescent="0.35">
      <c r="L194" t="str">
        <f ca="1">IFERROR(_xludf.XLOOKUP(C194,CodePath_Defaults!A:A,CodePath_Defaults!D:D,""),IFERROR(_xludf.XLOOKUP(B194,CodePath_Defaults!B:B,CodePath_Defaults!D:D,""),""))</f>
        <v/>
      </c>
      <c r="T194" t="s">
        <v>801</v>
      </c>
    </row>
    <row r="195" spans="12:20" x14ac:dyDescent="0.35">
      <c r="L195" t="str">
        <f ca="1">IFERROR(_xludf.XLOOKUP(C195,CodePath_Defaults!A:A,CodePath_Defaults!D:D,""),IFERROR(_xludf.XLOOKUP(B195,CodePath_Defaults!B:B,CodePath_Defaults!D:D,""),""))</f>
        <v/>
      </c>
      <c r="T195" t="s">
        <v>801</v>
      </c>
    </row>
    <row r="196" spans="12:20" x14ac:dyDescent="0.35">
      <c r="L196" t="str">
        <f ca="1">IFERROR(_xludf.XLOOKUP(C196,CodePath_Defaults!A:A,CodePath_Defaults!D:D,""),IFERROR(_xludf.XLOOKUP(B196,CodePath_Defaults!B:B,CodePath_Defaults!D:D,""),""))</f>
        <v/>
      </c>
      <c r="T196" t="s">
        <v>801</v>
      </c>
    </row>
    <row r="197" spans="12:20" x14ac:dyDescent="0.35">
      <c r="L197" t="str">
        <f ca="1">IFERROR(_xludf.XLOOKUP(C197,CodePath_Defaults!A:A,CodePath_Defaults!D:D,""),IFERROR(_xludf.XLOOKUP(B197,CodePath_Defaults!B:B,CodePath_Defaults!D:D,""),""))</f>
        <v/>
      </c>
      <c r="T197" t="s">
        <v>801</v>
      </c>
    </row>
    <row r="198" spans="12:20" x14ac:dyDescent="0.35">
      <c r="L198" t="str">
        <f ca="1">IFERROR(_xludf.XLOOKUP(C198,CodePath_Defaults!A:A,CodePath_Defaults!D:D,""),IFERROR(_xludf.XLOOKUP(B198,CodePath_Defaults!B:B,CodePath_Defaults!D:D,""),""))</f>
        <v/>
      </c>
      <c r="T198" t="s">
        <v>801</v>
      </c>
    </row>
    <row r="199" spans="12:20" x14ac:dyDescent="0.35">
      <c r="L199" t="str">
        <f ca="1">IFERROR(_xludf.XLOOKUP(C199,CodePath_Defaults!A:A,CodePath_Defaults!D:D,""),IFERROR(_xludf.XLOOKUP(B199,CodePath_Defaults!B:B,CodePath_Defaults!D:D,""),""))</f>
        <v/>
      </c>
      <c r="T199" t="s">
        <v>801</v>
      </c>
    </row>
    <row r="200" spans="12:20" x14ac:dyDescent="0.35">
      <c r="L200" t="str">
        <f ca="1">IFERROR(_xludf.XLOOKUP(C200,CodePath_Defaults!A:A,CodePath_Defaults!D:D,""),IFERROR(_xludf.XLOOKUP(B200,CodePath_Defaults!B:B,CodePath_Defaults!D:D,""),""))</f>
        <v/>
      </c>
      <c r="T200" t="s">
        <v>801</v>
      </c>
    </row>
    <row r="201" spans="12:20" x14ac:dyDescent="0.35">
      <c r="L201" t="str">
        <f ca="1">IFERROR(_xludf.XLOOKUP(C201,CodePath_Defaults!A:A,CodePath_Defaults!D:D,""),IFERROR(_xludf.XLOOKUP(B201,CodePath_Defaults!B:B,CodePath_Defaults!D:D,""),""))</f>
        <v/>
      </c>
      <c r="T201" t="s">
        <v>801</v>
      </c>
    </row>
    <row r="202" spans="12:20" x14ac:dyDescent="0.35">
      <c r="L202" t="str">
        <f ca="1">IFERROR(_xludf.XLOOKUP(C202,CodePath_Defaults!A:A,CodePath_Defaults!D:D,""),IFERROR(_xludf.XLOOKUP(B202,CodePath_Defaults!B:B,CodePath_Defaults!D:D,""),""))</f>
        <v/>
      </c>
      <c r="T202" t="s">
        <v>801</v>
      </c>
    </row>
    <row r="203" spans="12:20" x14ac:dyDescent="0.35">
      <c r="L203" t="str">
        <f ca="1">IFERROR(_xludf.XLOOKUP(C203,CodePath_Defaults!A:A,CodePath_Defaults!D:D,""),IFERROR(_xludf.XLOOKUP(B203,CodePath_Defaults!B:B,CodePath_Defaults!D:D,""),""))</f>
        <v/>
      </c>
      <c r="T203" t="s">
        <v>801</v>
      </c>
    </row>
    <row r="204" spans="12:20" x14ac:dyDescent="0.35">
      <c r="L204" t="str">
        <f ca="1">IFERROR(_xludf.XLOOKUP(C204,CodePath_Defaults!A:A,CodePath_Defaults!D:D,""),IFERROR(_xludf.XLOOKUP(B204,CodePath_Defaults!B:B,CodePath_Defaults!D:D,""),""))</f>
        <v/>
      </c>
      <c r="T204" t="s">
        <v>801</v>
      </c>
    </row>
    <row r="205" spans="12:20" x14ac:dyDescent="0.35">
      <c r="L205" t="str">
        <f ca="1">IFERROR(_xludf.XLOOKUP(C205,CodePath_Defaults!A:A,CodePath_Defaults!D:D,""),IFERROR(_xludf.XLOOKUP(B205,CodePath_Defaults!B:B,CodePath_Defaults!D:D,""),""))</f>
        <v/>
      </c>
      <c r="T205" t="s">
        <v>801</v>
      </c>
    </row>
    <row r="206" spans="12:20" x14ac:dyDescent="0.35">
      <c r="L206" t="str">
        <f ca="1">IFERROR(_xludf.XLOOKUP(C206,CodePath_Defaults!A:A,CodePath_Defaults!D:D,""),IFERROR(_xludf.XLOOKUP(B206,CodePath_Defaults!B:B,CodePath_Defaults!D:D,""),""))</f>
        <v/>
      </c>
      <c r="T206" t="s">
        <v>801</v>
      </c>
    </row>
    <row r="207" spans="12:20" x14ac:dyDescent="0.35">
      <c r="L207" t="str">
        <f ca="1">IFERROR(_xludf.XLOOKUP(C207,CodePath_Defaults!A:A,CodePath_Defaults!D:D,""),IFERROR(_xludf.XLOOKUP(B207,CodePath_Defaults!B:B,CodePath_Defaults!D:D,""),""))</f>
        <v/>
      </c>
      <c r="T207" t="s">
        <v>801</v>
      </c>
    </row>
    <row r="208" spans="12:20" x14ac:dyDescent="0.35">
      <c r="L208" t="str">
        <f ca="1">IFERROR(_xludf.XLOOKUP(C208,CodePath_Defaults!A:A,CodePath_Defaults!D:D,""),IFERROR(_xludf.XLOOKUP(B208,CodePath_Defaults!B:B,CodePath_Defaults!D:D,""),""))</f>
        <v/>
      </c>
      <c r="T208" t="s">
        <v>801</v>
      </c>
    </row>
    <row r="209" spans="12:20" x14ac:dyDescent="0.35">
      <c r="L209" t="str">
        <f ca="1">IFERROR(_xludf.XLOOKUP(C209,CodePath_Defaults!A:A,CodePath_Defaults!D:D,""),IFERROR(_xludf.XLOOKUP(B209,CodePath_Defaults!B:B,CodePath_Defaults!D:D,""),""))</f>
        <v/>
      </c>
      <c r="T209" t="s">
        <v>801</v>
      </c>
    </row>
    <row r="210" spans="12:20" x14ac:dyDescent="0.35">
      <c r="L210" t="str">
        <f ca="1">IFERROR(_xludf.XLOOKUP(C210,CodePath_Defaults!A:A,CodePath_Defaults!D:D,""),IFERROR(_xludf.XLOOKUP(B210,CodePath_Defaults!B:B,CodePath_Defaults!D:D,""),""))</f>
        <v/>
      </c>
      <c r="T210" t="s">
        <v>801</v>
      </c>
    </row>
    <row r="211" spans="12:20" x14ac:dyDescent="0.35">
      <c r="L211" t="str">
        <f ca="1">IFERROR(_xludf.XLOOKUP(C211,CodePath_Defaults!A:A,CodePath_Defaults!D:D,""),IFERROR(_xludf.XLOOKUP(B211,CodePath_Defaults!B:B,CodePath_Defaults!D:D,""),""))</f>
        <v/>
      </c>
      <c r="T211" t="s">
        <v>801</v>
      </c>
    </row>
    <row r="212" spans="12:20" x14ac:dyDescent="0.35">
      <c r="L212" t="str">
        <f ca="1">IFERROR(_xludf.XLOOKUP(C212,CodePath_Defaults!A:A,CodePath_Defaults!D:D,""),IFERROR(_xludf.XLOOKUP(B212,CodePath_Defaults!B:B,CodePath_Defaults!D:D,""),""))</f>
        <v/>
      </c>
      <c r="T212" t="s">
        <v>801</v>
      </c>
    </row>
    <row r="213" spans="12:20" x14ac:dyDescent="0.35">
      <c r="L213" t="str">
        <f ca="1">IFERROR(_xludf.XLOOKUP(C213,CodePath_Defaults!A:A,CodePath_Defaults!D:D,""),IFERROR(_xludf.XLOOKUP(B213,CodePath_Defaults!B:B,CodePath_Defaults!D:D,""),""))</f>
        <v/>
      </c>
      <c r="T213" t="s">
        <v>801</v>
      </c>
    </row>
    <row r="214" spans="12:20" x14ac:dyDescent="0.35">
      <c r="L214" t="str">
        <f ca="1">IFERROR(_xludf.XLOOKUP(C214,CodePath_Defaults!A:A,CodePath_Defaults!D:D,""),IFERROR(_xludf.XLOOKUP(B214,CodePath_Defaults!B:B,CodePath_Defaults!D:D,""),""))</f>
        <v/>
      </c>
      <c r="T214" t="s">
        <v>801</v>
      </c>
    </row>
    <row r="215" spans="12:20" x14ac:dyDescent="0.35">
      <c r="L215" t="str">
        <f ca="1">IFERROR(_xludf.XLOOKUP(C215,CodePath_Defaults!A:A,CodePath_Defaults!D:D,""),IFERROR(_xludf.XLOOKUP(B215,CodePath_Defaults!B:B,CodePath_Defaults!D:D,""),""))</f>
        <v/>
      </c>
      <c r="T215" t="s">
        <v>801</v>
      </c>
    </row>
    <row r="216" spans="12:20" x14ac:dyDescent="0.35">
      <c r="L216" t="str">
        <f ca="1">IFERROR(_xludf.XLOOKUP(C216,CodePath_Defaults!A:A,CodePath_Defaults!D:D,""),IFERROR(_xludf.XLOOKUP(B216,CodePath_Defaults!B:B,CodePath_Defaults!D:D,""),""))</f>
        <v/>
      </c>
      <c r="T216" t="s">
        <v>801</v>
      </c>
    </row>
    <row r="217" spans="12:20" x14ac:dyDescent="0.35">
      <c r="L217" t="str">
        <f ca="1">IFERROR(_xludf.XLOOKUP(C217,CodePath_Defaults!A:A,CodePath_Defaults!D:D,""),IFERROR(_xludf.XLOOKUP(B217,CodePath_Defaults!B:B,CodePath_Defaults!D:D,""),""))</f>
        <v/>
      </c>
      <c r="T217" t="s">
        <v>801</v>
      </c>
    </row>
    <row r="218" spans="12:20" x14ac:dyDescent="0.35">
      <c r="L218" t="str">
        <f ca="1">IFERROR(_xludf.XLOOKUP(C218,CodePath_Defaults!A:A,CodePath_Defaults!D:D,""),IFERROR(_xludf.XLOOKUP(B218,CodePath_Defaults!B:B,CodePath_Defaults!D:D,""),""))</f>
        <v/>
      </c>
      <c r="T218" t="s">
        <v>801</v>
      </c>
    </row>
    <row r="219" spans="12:20" x14ac:dyDescent="0.35">
      <c r="L219" t="str">
        <f ca="1">IFERROR(_xludf.XLOOKUP(C219,CodePath_Defaults!A:A,CodePath_Defaults!D:D,""),IFERROR(_xludf.XLOOKUP(B219,CodePath_Defaults!B:B,CodePath_Defaults!D:D,""),""))</f>
        <v/>
      </c>
      <c r="T219" t="s">
        <v>801</v>
      </c>
    </row>
    <row r="220" spans="12:20" x14ac:dyDescent="0.35">
      <c r="L220" t="str">
        <f ca="1">IFERROR(_xludf.XLOOKUP(C220,CodePath_Defaults!A:A,CodePath_Defaults!D:D,""),IFERROR(_xludf.XLOOKUP(B220,CodePath_Defaults!B:B,CodePath_Defaults!D:D,""),""))</f>
        <v/>
      </c>
      <c r="T220" t="s">
        <v>801</v>
      </c>
    </row>
    <row r="221" spans="12:20" x14ac:dyDescent="0.35">
      <c r="L221" t="str">
        <f ca="1">IFERROR(_xludf.XLOOKUP(C221,CodePath_Defaults!A:A,CodePath_Defaults!D:D,""),IFERROR(_xludf.XLOOKUP(B221,CodePath_Defaults!B:B,CodePath_Defaults!D:D,""),""))</f>
        <v/>
      </c>
      <c r="T221" t="s">
        <v>801</v>
      </c>
    </row>
    <row r="222" spans="12:20" x14ac:dyDescent="0.35">
      <c r="L222" t="str">
        <f ca="1">IFERROR(_xludf.XLOOKUP(C222,CodePath_Defaults!A:A,CodePath_Defaults!D:D,""),IFERROR(_xludf.XLOOKUP(B222,CodePath_Defaults!B:B,CodePath_Defaults!D:D,""),""))</f>
        <v/>
      </c>
      <c r="T222" t="s">
        <v>801</v>
      </c>
    </row>
    <row r="223" spans="12:20" x14ac:dyDescent="0.35">
      <c r="L223" t="str">
        <f ca="1">IFERROR(_xludf.XLOOKUP(C223,CodePath_Defaults!A:A,CodePath_Defaults!D:D,""),IFERROR(_xludf.XLOOKUP(B223,CodePath_Defaults!B:B,CodePath_Defaults!D:D,""),""))</f>
        <v/>
      </c>
      <c r="T223" t="s">
        <v>801</v>
      </c>
    </row>
    <row r="224" spans="12:20" x14ac:dyDescent="0.35">
      <c r="L224" t="str">
        <f ca="1">IFERROR(_xludf.XLOOKUP(C224,CodePath_Defaults!A:A,CodePath_Defaults!D:D,""),IFERROR(_xludf.XLOOKUP(B224,CodePath_Defaults!B:B,CodePath_Defaults!D:D,""),""))</f>
        <v/>
      </c>
      <c r="T224" t="s">
        <v>801</v>
      </c>
    </row>
    <row r="225" spans="12:20" x14ac:dyDescent="0.35">
      <c r="L225" t="str">
        <f ca="1">IFERROR(_xludf.XLOOKUP(C225,CodePath_Defaults!A:A,CodePath_Defaults!D:D,""),IFERROR(_xludf.XLOOKUP(B225,CodePath_Defaults!B:B,CodePath_Defaults!D:D,""),""))</f>
        <v/>
      </c>
      <c r="T225" t="s">
        <v>801</v>
      </c>
    </row>
    <row r="226" spans="12:20" x14ac:dyDescent="0.35">
      <c r="L226" t="str">
        <f ca="1">IFERROR(_xludf.XLOOKUP(C226,CodePath_Defaults!A:A,CodePath_Defaults!D:D,""),IFERROR(_xludf.XLOOKUP(B226,CodePath_Defaults!B:B,CodePath_Defaults!D:D,""),""))</f>
        <v/>
      </c>
      <c r="T226" t="s">
        <v>801</v>
      </c>
    </row>
    <row r="227" spans="12:20" x14ac:dyDescent="0.35">
      <c r="L227" t="str">
        <f ca="1">IFERROR(_xludf.XLOOKUP(C227,CodePath_Defaults!A:A,CodePath_Defaults!D:D,""),IFERROR(_xludf.XLOOKUP(B227,CodePath_Defaults!B:B,CodePath_Defaults!D:D,""),""))</f>
        <v/>
      </c>
      <c r="T227" t="s">
        <v>801</v>
      </c>
    </row>
    <row r="228" spans="12:20" x14ac:dyDescent="0.35">
      <c r="L228" t="str">
        <f ca="1">IFERROR(_xludf.XLOOKUP(C228,CodePath_Defaults!A:A,CodePath_Defaults!D:D,""),IFERROR(_xludf.XLOOKUP(B228,CodePath_Defaults!B:B,CodePath_Defaults!D:D,""),""))</f>
        <v/>
      </c>
      <c r="T228" t="s">
        <v>801</v>
      </c>
    </row>
    <row r="229" spans="12:20" x14ac:dyDescent="0.35">
      <c r="L229" t="str">
        <f ca="1">IFERROR(_xludf.XLOOKUP(C229,CodePath_Defaults!A:A,CodePath_Defaults!D:D,""),IFERROR(_xludf.XLOOKUP(B229,CodePath_Defaults!B:B,CodePath_Defaults!D:D,""),""))</f>
        <v/>
      </c>
      <c r="T229" t="s">
        <v>801</v>
      </c>
    </row>
    <row r="230" spans="12:20" x14ac:dyDescent="0.35">
      <c r="L230" t="str">
        <f ca="1">IFERROR(_xludf.XLOOKUP(C230,CodePath_Defaults!A:A,CodePath_Defaults!D:D,""),IFERROR(_xludf.XLOOKUP(B230,CodePath_Defaults!B:B,CodePath_Defaults!D:D,""),""))</f>
        <v/>
      </c>
      <c r="T230" t="s">
        <v>801</v>
      </c>
    </row>
    <row r="231" spans="12:20" x14ac:dyDescent="0.35">
      <c r="L231" t="str">
        <f ca="1">IFERROR(_xludf.XLOOKUP(C231,CodePath_Defaults!A:A,CodePath_Defaults!D:D,""),IFERROR(_xludf.XLOOKUP(B231,CodePath_Defaults!B:B,CodePath_Defaults!D:D,""),""))</f>
        <v/>
      </c>
      <c r="T231" t="s">
        <v>801</v>
      </c>
    </row>
    <row r="232" spans="12:20" x14ac:dyDescent="0.35">
      <c r="L232" t="str">
        <f ca="1">IFERROR(_xludf.XLOOKUP(C232,CodePath_Defaults!A:A,CodePath_Defaults!D:D,""),IFERROR(_xludf.XLOOKUP(B232,CodePath_Defaults!B:B,CodePath_Defaults!D:D,""),""))</f>
        <v/>
      </c>
      <c r="T232" t="s">
        <v>801</v>
      </c>
    </row>
    <row r="233" spans="12:20" x14ac:dyDescent="0.35">
      <c r="L233" t="str">
        <f ca="1">IFERROR(_xludf.XLOOKUP(C233,CodePath_Defaults!A:A,CodePath_Defaults!D:D,""),IFERROR(_xludf.XLOOKUP(B233,CodePath_Defaults!B:B,CodePath_Defaults!D:D,""),""))</f>
        <v/>
      </c>
      <c r="T233" t="s">
        <v>801</v>
      </c>
    </row>
    <row r="234" spans="12:20" x14ac:dyDescent="0.35">
      <c r="L234" t="str">
        <f ca="1">IFERROR(_xludf.XLOOKUP(C234,CodePath_Defaults!A:A,CodePath_Defaults!D:D,""),IFERROR(_xludf.XLOOKUP(B234,CodePath_Defaults!B:B,CodePath_Defaults!D:D,""),""))</f>
        <v/>
      </c>
      <c r="T234" t="s">
        <v>801</v>
      </c>
    </row>
    <row r="235" spans="12:20" x14ac:dyDescent="0.35">
      <c r="L235" t="str">
        <f ca="1">IFERROR(_xludf.XLOOKUP(C235,CodePath_Defaults!A:A,CodePath_Defaults!D:D,""),IFERROR(_xludf.XLOOKUP(B235,CodePath_Defaults!B:B,CodePath_Defaults!D:D,""),""))</f>
        <v/>
      </c>
      <c r="T235" t="s">
        <v>801</v>
      </c>
    </row>
    <row r="236" spans="12:20" x14ac:dyDescent="0.35">
      <c r="L236" t="str">
        <f ca="1">IFERROR(_xludf.XLOOKUP(C236,CodePath_Defaults!A:A,CodePath_Defaults!D:D,""),IFERROR(_xludf.XLOOKUP(B236,CodePath_Defaults!B:B,CodePath_Defaults!D:D,""),""))</f>
        <v/>
      </c>
      <c r="T236" t="s">
        <v>801</v>
      </c>
    </row>
    <row r="237" spans="12:20" x14ac:dyDescent="0.35">
      <c r="L237" t="str">
        <f ca="1">IFERROR(_xludf.XLOOKUP(C237,CodePath_Defaults!A:A,CodePath_Defaults!D:D,""),IFERROR(_xludf.XLOOKUP(B237,CodePath_Defaults!B:B,CodePath_Defaults!D:D,""),""))</f>
        <v/>
      </c>
      <c r="T237" t="s">
        <v>801</v>
      </c>
    </row>
    <row r="238" spans="12:20" x14ac:dyDescent="0.35">
      <c r="L238" t="str">
        <f ca="1">IFERROR(_xludf.XLOOKUP(C238,CodePath_Defaults!A:A,CodePath_Defaults!D:D,""),IFERROR(_xludf.XLOOKUP(B238,CodePath_Defaults!B:B,CodePath_Defaults!D:D,""),""))</f>
        <v/>
      </c>
      <c r="T238" t="s">
        <v>801</v>
      </c>
    </row>
    <row r="239" spans="12:20" x14ac:dyDescent="0.35">
      <c r="L239" t="str">
        <f ca="1">IFERROR(_xludf.XLOOKUP(C239,CodePath_Defaults!A:A,CodePath_Defaults!D:D,""),IFERROR(_xludf.XLOOKUP(B239,CodePath_Defaults!B:B,CodePath_Defaults!D:D,""),""))</f>
        <v/>
      </c>
      <c r="T239" t="s">
        <v>801</v>
      </c>
    </row>
    <row r="240" spans="12:20" x14ac:dyDescent="0.35">
      <c r="L240" t="str">
        <f ca="1">IFERROR(_xludf.XLOOKUP(C240,CodePath_Defaults!A:A,CodePath_Defaults!D:D,""),IFERROR(_xludf.XLOOKUP(B240,CodePath_Defaults!B:B,CodePath_Defaults!D:D,""),""))</f>
        <v/>
      </c>
      <c r="T240" t="s">
        <v>801</v>
      </c>
    </row>
    <row r="241" spans="12:20" x14ac:dyDescent="0.35">
      <c r="L241" t="str">
        <f ca="1">IFERROR(_xludf.XLOOKUP(C241,CodePath_Defaults!A:A,CodePath_Defaults!D:D,""),IFERROR(_xludf.XLOOKUP(B241,CodePath_Defaults!B:B,CodePath_Defaults!D:D,""),""))</f>
        <v/>
      </c>
      <c r="T241" t="s">
        <v>801</v>
      </c>
    </row>
    <row r="242" spans="12:20" x14ac:dyDescent="0.35">
      <c r="L242" t="str">
        <f ca="1">IFERROR(_xludf.XLOOKUP(C242,CodePath_Defaults!A:A,CodePath_Defaults!D:D,""),IFERROR(_xludf.XLOOKUP(B242,CodePath_Defaults!B:B,CodePath_Defaults!D:D,""),""))</f>
        <v/>
      </c>
      <c r="T242" t="s">
        <v>801</v>
      </c>
    </row>
    <row r="243" spans="12:20" x14ac:dyDescent="0.35">
      <c r="L243" t="str">
        <f ca="1">IFERROR(_xludf.XLOOKUP(C243,CodePath_Defaults!A:A,CodePath_Defaults!D:D,""),IFERROR(_xludf.XLOOKUP(B243,CodePath_Defaults!B:B,CodePath_Defaults!D:D,""),""))</f>
        <v/>
      </c>
      <c r="T243" t="s">
        <v>801</v>
      </c>
    </row>
    <row r="244" spans="12:20" x14ac:dyDescent="0.35">
      <c r="L244" t="str">
        <f ca="1">IFERROR(_xludf.XLOOKUP(C244,CodePath_Defaults!A:A,CodePath_Defaults!D:D,""),IFERROR(_xludf.XLOOKUP(B244,CodePath_Defaults!B:B,CodePath_Defaults!D:D,""),""))</f>
        <v/>
      </c>
      <c r="T244" t="s">
        <v>801</v>
      </c>
    </row>
    <row r="245" spans="12:20" x14ac:dyDescent="0.35">
      <c r="L245" t="str">
        <f ca="1">IFERROR(_xludf.XLOOKUP(C245,CodePath_Defaults!A:A,CodePath_Defaults!D:D,""),IFERROR(_xludf.XLOOKUP(B245,CodePath_Defaults!B:B,CodePath_Defaults!D:D,""),""))</f>
        <v/>
      </c>
      <c r="T245" t="s">
        <v>801</v>
      </c>
    </row>
    <row r="246" spans="12:20" x14ac:dyDescent="0.35">
      <c r="L246" t="str">
        <f ca="1">IFERROR(_xludf.XLOOKUP(C246,CodePath_Defaults!A:A,CodePath_Defaults!D:D,""),IFERROR(_xludf.XLOOKUP(B246,CodePath_Defaults!B:B,CodePath_Defaults!D:D,""),""))</f>
        <v/>
      </c>
      <c r="T246" t="s">
        <v>801</v>
      </c>
    </row>
    <row r="247" spans="12:20" x14ac:dyDescent="0.35">
      <c r="L247" t="str">
        <f ca="1">IFERROR(_xludf.XLOOKUP(C247,CodePath_Defaults!A:A,CodePath_Defaults!D:D,""),IFERROR(_xludf.XLOOKUP(B247,CodePath_Defaults!B:B,CodePath_Defaults!D:D,""),""))</f>
        <v/>
      </c>
      <c r="T247" t="s">
        <v>801</v>
      </c>
    </row>
    <row r="248" spans="12:20" x14ac:dyDescent="0.35">
      <c r="L248" t="str">
        <f ca="1">IFERROR(_xludf.XLOOKUP(C248,CodePath_Defaults!A:A,CodePath_Defaults!D:D,""),IFERROR(_xludf.XLOOKUP(B248,CodePath_Defaults!B:B,CodePath_Defaults!D:D,""),""))</f>
        <v/>
      </c>
      <c r="T248" t="s">
        <v>801</v>
      </c>
    </row>
    <row r="249" spans="12:20" x14ac:dyDescent="0.35">
      <c r="L249" t="str">
        <f ca="1">IFERROR(_xludf.XLOOKUP(C249,CodePath_Defaults!A:A,CodePath_Defaults!D:D,""),IFERROR(_xludf.XLOOKUP(B249,CodePath_Defaults!B:B,CodePath_Defaults!D:D,""),""))</f>
        <v/>
      </c>
      <c r="T249" t="s">
        <v>801</v>
      </c>
    </row>
    <row r="250" spans="12:20" x14ac:dyDescent="0.35">
      <c r="L250" t="str">
        <f ca="1">IFERROR(_xludf.XLOOKUP(C250,CodePath_Defaults!A:A,CodePath_Defaults!D:D,""),IFERROR(_xludf.XLOOKUP(B250,CodePath_Defaults!B:B,CodePath_Defaults!D:D,""),""))</f>
        <v/>
      </c>
      <c r="T250" t="s">
        <v>801</v>
      </c>
    </row>
    <row r="251" spans="12:20" x14ac:dyDescent="0.35">
      <c r="L251" t="str">
        <f ca="1">IFERROR(_xludf.XLOOKUP(C251,CodePath_Defaults!A:A,CodePath_Defaults!D:D,""),IFERROR(_xludf.XLOOKUP(B251,CodePath_Defaults!B:B,CodePath_Defaults!D:D,""),""))</f>
        <v/>
      </c>
      <c r="T251" t="s">
        <v>801</v>
      </c>
    </row>
    <row r="252" spans="12:20" x14ac:dyDescent="0.35">
      <c r="L252" t="str">
        <f ca="1">IFERROR(_xludf.XLOOKUP(C252,CodePath_Defaults!A:A,CodePath_Defaults!D:D,""),IFERROR(_xludf.XLOOKUP(B252,CodePath_Defaults!B:B,CodePath_Defaults!D:D,""),""))</f>
        <v/>
      </c>
      <c r="T252" t="s">
        <v>801</v>
      </c>
    </row>
    <row r="253" spans="12:20" x14ac:dyDescent="0.35">
      <c r="L253" t="str">
        <f ca="1">IFERROR(_xludf.XLOOKUP(C253,CodePath_Defaults!A:A,CodePath_Defaults!D:D,""),IFERROR(_xludf.XLOOKUP(B253,CodePath_Defaults!B:B,CodePath_Defaults!D:D,""),""))</f>
        <v/>
      </c>
      <c r="T253" t="s">
        <v>801</v>
      </c>
    </row>
    <row r="254" spans="12:20" x14ac:dyDescent="0.35">
      <c r="L254" t="str">
        <f ca="1">IFERROR(_xludf.XLOOKUP(C254,CodePath_Defaults!A:A,CodePath_Defaults!D:D,""),IFERROR(_xludf.XLOOKUP(B254,CodePath_Defaults!B:B,CodePath_Defaults!D:D,""),""))</f>
        <v/>
      </c>
      <c r="T254" t="s">
        <v>801</v>
      </c>
    </row>
    <row r="255" spans="12:20" x14ac:dyDescent="0.35">
      <c r="L255" t="str">
        <f ca="1">IFERROR(_xludf.XLOOKUP(C255,CodePath_Defaults!A:A,CodePath_Defaults!D:D,""),IFERROR(_xludf.XLOOKUP(B255,CodePath_Defaults!B:B,CodePath_Defaults!D:D,""),""))</f>
        <v/>
      </c>
      <c r="T255" t="s">
        <v>801</v>
      </c>
    </row>
    <row r="256" spans="12:20" x14ac:dyDescent="0.35">
      <c r="L256" t="str">
        <f ca="1">IFERROR(_xludf.XLOOKUP(C256,CodePath_Defaults!A:A,CodePath_Defaults!D:D,""),IFERROR(_xludf.XLOOKUP(B256,CodePath_Defaults!B:B,CodePath_Defaults!D:D,""),""))</f>
        <v/>
      </c>
      <c r="T256" t="s">
        <v>801</v>
      </c>
    </row>
    <row r="257" spans="12:20" x14ac:dyDescent="0.35">
      <c r="L257" t="str">
        <f ca="1">IFERROR(_xludf.XLOOKUP(C257,CodePath_Defaults!A:A,CodePath_Defaults!D:D,""),IFERROR(_xludf.XLOOKUP(B257,CodePath_Defaults!B:B,CodePath_Defaults!D:D,""),""))</f>
        <v/>
      </c>
      <c r="T257" t="s">
        <v>801</v>
      </c>
    </row>
    <row r="258" spans="12:20" x14ac:dyDescent="0.35">
      <c r="L258" t="str">
        <f ca="1">IFERROR(_xludf.XLOOKUP(C258,CodePath_Defaults!A:A,CodePath_Defaults!D:D,""),IFERROR(_xludf.XLOOKUP(B258,CodePath_Defaults!B:B,CodePath_Defaults!D:D,""),""))</f>
        <v/>
      </c>
      <c r="T258" t="s">
        <v>801</v>
      </c>
    </row>
    <row r="259" spans="12:20" x14ac:dyDescent="0.35">
      <c r="L259" t="str">
        <f ca="1">IFERROR(_xludf.XLOOKUP(C259,CodePath_Defaults!A:A,CodePath_Defaults!D:D,""),IFERROR(_xludf.XLOOKUP(B259,CodePath_Defaults!B:B,CodePath_Defaults!D:D,""),""))</f>
        <v/>
      </c>
      <c r="T259" t="s">
        <v>801</v>
      </c>
    </row>
    <row r="260" spans="12:20" x14ac:dyDescent="0.35">
      <c r="L260" t="str">
        <f ca="1">IFERROR(_xludf.XLOOKUP(C260,CodePath_Defaults!A:A,CodePath_Defaults!D:D,""),IFERROR(_xludf.XLOOKUP(B260,CodePath_Defaults!B:B,CodePath_Defaults!D:D,""),""))</f>
        <v/>
      </c>
      <c r="T260" t="s">
        <v>801</v>
      </c>
    </row>
    <row r="261" spans="12:20" x14ac:dyDescent="0.35">
      <c r="L261" t="str">
        <f ca="1">IFERROR(_xludf.XLOOKUP(C261,CodePath_Defaults!A:A,CodePath_Defaults!D:D,""),IFERROR(_xludf.XLOOKUP(B261,CodePath_Defaults!B:B,CodePath_Defaults!D:D,""),""))</f>
        <v/>
      </c>
      <c r="T261" t="s">
        <v>801</v>
      </c>
    </row>
    <row r="262" spans="12:20" x14ac:dyDescent="0.35">
      <c r="L262" t="str">
        <f ca="1">IFERROR(_xludf.XLOOKUP(C262,CodePath_Defaults!A:A,CodePath_Defaults!D:D,""),IFERROR(_xludf.XLOOKUP(B262,CodePath_Defaults!B:B,CodePath_Defaults!D:D,""),""))</f>
        <v/>
      </c>
      <c r="T262" t="s">
        <v>801</v>
      </c>
    </row>
    <row r="263" spans="12:20" x14ac:dyDescent="0.35">
      <c r="L263" t="str">
        <f ca="1">IFERROR(_xludf.XLOOKUP(C263,CodePath_Defaults!A:A,CodePath_Defaults!D:D,""),IFERROR(_xludf.XLOOKUP(B263,CodePath_Defaults!B:B,CodePath_Defaults!D:D,""),""))</f>
        <v/>
      </c>
      <c r="T263" t="s">
        <v>801</v>
      </c>
    </row>
    <row r="264" spans="12:20" x14ac:dyDescent="0.35">
      <c r="L264" t="str">
        <f ca="1">IFERROR(_xludf.XLOOKUP(C264,CodePath_Defaults!A:A,CodePath_Defaults!D:D,""),IFERROR(_xludf.XLOOKUP(B264,CodePath_Defaults!B:B,CodePath_Defaults!D:D,""),""))</f>
        <v/>
      </c>
      <c r="T264" t="s">
        <v>801</v>
      </c>
    </row>
    <row r="265" spans="12:20" x14ac:dyDescent="0.35">
      <c r="L265" t="str">
        <f ca="1">IFERROR(_xludf.XLOOKUP(C265,CodePath_Defaults!A:A,CodePath_Defaults!D:D,""),IFERROR(_xludf.XLOOKUP(B265,CodePath_Defaults!B:B,CodePath_Defaults!D:D,""),""))</f>
        <v/>
      </c>
      <c r="T265" t="s">
        <v>801</v>
      </c>
    </row>
    <row r="266" spans="12:20" x14ac:dyDescent="0.35">
      <c r="L266" t="str">
        <f ca="1">IFERROR(_xludf.XLOOKUP(C266,CodePath_Defaults!A:A,CodePath_Defaults!D:D,""),IFERROR(_xludf.XLOOKUP(B266,CodePath_Defaults!B:B,CodePath_Defaults!D:D,""),""))</f>
        <v/>
      </c>
      <c r="T266" t="s">
        <v>801</v>
      </c>
    </row>
    <row r="267" spans="12:20" x14ac:dyDescent="0.35">
      <c r="L267" t="str">
        <f ca="1">IFERROR(_xludf.XLOOKUP(C267,CodePath_Defaults!A:A,CodePath_Defaults!D:D,""),IFERROR(_xludf.XLOOKUP(B267,CodePath_Defaults!B:B,CodePath_Defaults!D:D,""),""))</f>
        <v/>
      </c>
      <c r="T267" t="s">
        <v>801</v>
      </c>
    </row>
    <row r="268" spans="12:20" x14ac:dyDescent="0.35">
      <c r="L268" t="str">
        <f ca="1">IFERROR(_xludf.XLOOKUP(C268,CodePath_Defaults!A:A,CodePath_Defaults!D:D,""),IFERROR(_xludf.XLOOKUP(B268,CodePath_Defaults!B:B,CodePath_Defaults!D:D,""),""))</f>
        <v/>
      </c>
      <c r="T268" t="s">
        <v>801</v>
      </c>
    </row>
    <row r="269" spans="12:20" x14ac:dyDescent="0.35">
      <c r="L269" t="str">
        <f ca="1">IFERROR(_xludf.XLOOKUP(C269,CodePath_Defaults!A:A,CodePath_Defaults!D:D,""),IFERROR(_xludf.XLOOKUP(B269,CodePath_Defaults!B:B,CodePath_Defaults!D:D,""),""))</f>
        <v/>
      </c>
      <c r="T269" t="s">
        <v>801</v>
      </c>
    </row>
    <row r="270" spans="12:20" x14ac:dyDescent="0.35">
      <c r="L270" t="str">
        <f ca="1">IFERROR(_xludf.XLOOKUP(C270,CodePath_Defaults!A:A,CodePath_Defaults!D:D,""),IFERROR(_xludf.XLOOKUP(B270,CodePath_Defaults!B:B,CodePath_Defaults!D:D,""),""))</f>
        <v/>
      </c>
      <c r="T270" t="s">
        <v>801</v>
      </c>
    </row>
    <row r="271" spans="12:20" x14ac:dyDescent="0.35">
      <c r="L271" t="str">
        <f ca="1">IFERROR(_xludf.XLOOKUP(C271,CodePath_Defaults!A:A,CodePath_Defaults!D:D,""),IFERROR(_xludf.XLOOKUP(B271,CodePath_Defaults!B:B,CodePath_Defaults!D:D,""),""))</f>
        <v/>
      </c>
      <c r="T271" t="s">
        <v>801</v>
      </c>
    </row>
    <row r="272" spans="12:20" x14ac:dyDescent="0.35">
      <c r="L272" t="str">
        <f ca="1">IFERROR(_xludf.XLOOKUP(C272,CodePath_Defaults!A:A,CodePath_Defaults!D:D,""),IFERROR(_xludf.XLOOKUP(B272,CodePath_Defaults!B:B,CodePath_Defaults!D:D,""),""))</f>
        <v/>
      </c>
      <c r="T272" t="s">
        <v>801</v>
      </c>
    </row>
    <row r="273" spans="12:20" x14ac:dyDescent="0.35">
      <c r="L273" t="str">
        <f ca="1">IFERROR(_xludf.XLOOKUP(C273,CodePath_Defaults!A:A,CodePath_Defaults!D:D,""),IFERROR(_xludf.XLOOKUP(B273,CodePath_Defaults!B:B,CodePath_Defaults!D:D,""),""))</f>
        <v/>
      </c>
      <c r="T273" t="s">
        <v>801</v>
      </c>
    </row>
    <row r="274" spans="12:20" x14ac:dyDescent="0.35">
      <c r="L274" t="str">
        <f ca="1">IFERROR(_xludf.XLOOKUP(C274,CodePath_Defaults!A:A,CodePath_Defaults!D:D,""),IFERROR(_xludf.XLOOKUP(B274,CodePath_Defaults!B:B,CodePath_Defaults!D:D,""),""))</f>
        <v/>
      </c>
      <c r="T274" t="s">
        <v>801</v>
      </c>
    </row>
    <row r="275" spans="12:20" x14ac:dyDescent="0.35">
      <c r="L275" t="str">
        <f ca="1">IFERROR(_xludf.XLOOKUP(C275,CodePath_Defaults!A:A,CodePath_Defaults!D:D,""),IFERROR(_xludf.XLOOKUP(B275,CodePath_Defaults!B:B,CodePath_Defaults!D:D,""),""))</f>
        <v/>
      </c>
      <c r="T275" t="s">
        <v>801</v>
      </c>
    </row>
    <row r="276" spans="12:20" x14ac:dyDescent="0.35">
      <c r="L276" t="str">
        <f ca="1">IFERROR(_xludf.XLOOKUP(C276,CodePath_Defaults!A:A,CodePath_Defaults!D:D,""),IFERROR(_xludf.XLOOKUP(B276,CodePath_Defaults!B:B,CodePath_Defaults!D:D,""),""))</f>
        <v/>
      </c>
      <c r="T276" t="s">
        <v>801</v>
      </c>
    </row>
    <row r="277" spans="12:20" x14ac:dyDescent="0.35">
      <c r="L277" t="str">
        <f ca="1">IFERROR(_xludf.XLOOKUP(C277,CodePath_Defaults!A:A,CodePath_Defaults!D:D,""),IFERROR(_xludf.XLOOKUP(B277,CodePath_Defaults!B:B,CodePath_Defaults!D:D,""),""))</f>
        <v/>
      </c>
      <c r="T277" t="s">
        <v>801</v>
      </c>
    </row>
    <row r="278" spans="12:20" x14ac:dyDescent="0.35">
      <c r="L278" t="str">
        <f ca="1">IFERROR(_xludf.XLOOKUP(C278,CodePath_Defaults!A:A,CodePath_Defaults!D:D,""),IFERROR(_xludf.XLOOKUP(B278,CodePath_Defaults!B:B,CodePath_Defaults!D:D,""),""))</f>
        <v/>
      </c>
      <c r="T278" t="s">
        <v>801</v>
      </c>
    </row>
    <row r="279" spans="12:20" x14ac:dyDescent="0.35">
      <c r="L279" t="str">
        <f ca="1">IFERROR(_xludf.XLOOKUP(C279,CodePath_Defaults!A:A,CodePath_Defaults!D:D,""),IFERROR(_xludf.XLOOKUP(B279,CodePath_Defaults!B:B,CodePath_Defaults!D:D,""),""))</f>
        <v/>
      </c>
      <c r="T279" t="s">
        <v>801</v>
      </c>
    </row>
    <row r="280" spans="12:20" x14ac:dyDescent="0.35">
      <c r="L280" t="str">
        <f ca="1">IFERROR(_xludf.XLOOKUP(C280,CodePath_Defaults!A:A,CodePath_Defaults!D:D,""),IFERROR(_xludf.XLOOKUP(B280,CodePath_Defaults!B:B,CodePath_Defaults!D:D,""),""))</f>
        <v/>
      </c>
      <c r="T280" t="s">
        <v>801</v>
      </c>
    </row>
    <row r="281" spans="12:20" x14ac:dyDescent="0.35">
      <c r="L281" t="str">
        <f ca="1">IFERROR(_xludf.XLOOKUP(C281,CodePath_Defaults!A:A,CodePath_Defaults!D:D,""),IFERROR(_xludf.XLOOKUP(B281,CodePath_Defaults!B:B,CodePath_Defaults!D:D,""),""))</f>
        <v/>
      </c>
      <c r="T281" t="s">
        <v>801</v>
      </c>
    </row>
    <row r="282" spans="12:20" x14ac:dyDescent="0.35">
      <c r="L282" t="str">
        <f ca="1">IFERROR(_xludf.XLOOKUP(C282,CodePath_Defaults!A:A,CodePath_Defaults!D:D,""),IFERROR(_xludf.XLOOKUP(B282,CodePath_Defaults!B:B,CodePath_Defaults!D:D,""),""))</f>
        <v/>
      </c>
      <c r="T282" t="s">
        <v>801</v>
      </c>
    </row>
    <row r="283" spans="12:20" x14ac:dyDescent="0.35">
      <c r="L283" t="str">
        <f ca="1">IFERROR(_xludf.XLOOKUP(C283,CodePath_Defaults!A:A,CodePath_Defaults!D:D,""),IFERROR(_xludf.XLOOKUP(B283,CodePath_Defaults!B:B,CodePath_Defaults!D:D,""),""))</f>
        <v/>
      </c>
      <c r="T283" t="s">
        <v>801</v>
      </c>
    </row>
    <row r="284" spans="12:20" x14ac:dyDescent="0.35">
      <c r="L284" t="str">
        <f ca="1">IFERROR(_xludf.XLOOKUP(C284,CodePath_Defaults!A:A,CodePath_Defaults!D:D,""),IFERROR(_xludf.XLOOKUP(B284,CodePath_Defaults!B:B,CodePath_Defaults!D:D,""),""))</f>
        <v/>
      </c>
      <c r="T284" t="s">
        <v>801</v>
      </c>
    </row>
    <row r="285" spans="12:20" x14ac:dyDescent="0.35">
      <c r="L285" t="str">
        <f ca="1">IFERROR(_xludf.XLOOKUP(C285,CodePath_Defaults!A:A,CodePath_Defaults!D:D,""),IFERROR(_xludf.XLOOKUP(B285,CodePath_Defaults!B:B,CodePath_Defaults!D:D,""),""))</f>
        <v/>
      </c>
      <c r="T285" t="s">
        <v>801</v>
      </c>
    </row>
    <row r="286" spans="12:20" x14ac:dyDescent="0.35">
      <c r="L286" t="str">
        <f ca="1">IFERROR(_xludf.XLOOKUP(C286,CodePath_Defaults!A:A,CodePath_Defaults!D:D,""),IFERROR(_xludf.XLOOKUP(B286,CodePath_Defaults!B:B,CodePath_Defaults!D:D,""),""))</f>
        <v/>
      </c>
      <c r="T286" t="s">
        <v>801</v>
      </c>
    </row>
    <row r="287" spans="12:20" x14ac:dyDescent="0.35">
      <c r="L287" t="str">
        <f ca="1">IFERROR(_xludf.XLOOKUP(C287,CodePath_Defaults!A:A,CodePath_Defaults!D:D,""),IFERROR(_xludf.XLOOKUP(B287,CodePath_Defaults!B:B,CodePath_Defaults!D:D,""),""))</f>
        <v/>
      </c>
      <c r="T287" t="s">
        <v>801</v>
      </c>
    </row>
    <row r="288" spans="12:20" x14ac:dyDescent="0.35">
      <c r="L288" t="str">
        <f ca="1">IFERROR(_xludf.XLOOKUP(C288,CodePath_Defaults!A:A,CodePath_Defaults!D:D,""),IFERROR(_xludf.XLOOKUP(B288,CodePath_Defaults!B:B,CodePath_Defaults!D:D,""),""))</f>
        <v/>
      </c>
      <c r="T288" t="s">
        <v>801</v>
      </c>
    </row>
    <row r="289" spans="12:20" x14ac:dyDescent="0.35">
      <c r="L289" t="str">
        <f ca="1">IFERROR(_xludf.XLOOKUP(C289,CodePath_Defaults!A:A,CodePath_Defaults!D:D,""),IFERROR(_xludf.XLOOKUP(B289,CodePath_Defaults!B:B,CodePath_Defaults!D:D,""),""))</f>
        <v/>
      </c>
      <c r="T289" t="s">
        <v>801</v>
      </c>
    </row>
    <row r="290" spans="12:20" x14ac:dyDescent="0.35">
      <c r="L290" t="str">
        <f ca="1">IFERROR(_xludf.XLOOKUP(C290,CodePath_Defaults!A:A,CodePath_Defaults!D:D,""),IFERROR(_xludf.XLOOKUP(B290,CodePath_Defaults!B:B,CodePath_Defaults!D:D,""),""))</f>
        <v/>
      </c>
      <c r="T290" t="s">
        <v>801</v>
      </c>
    </row>
    <row r="291" spans="12:20" x14ac:dyDescent="0.35">
      <c r="L291" t="str">
        <f ca="1">IFERROR(_xludf.XLOOKUP(C291,CodePath_Defaults!A:A,CodePath_Defaults!D:D,""),IFERROR(_xludf.XLOOKUP(B291,CodePath_Defaults!B:B,CodePath_Defaults!D:D,""),""))</f>
        <v/>
      </c>
      <c r="T291" t="s">
        <v>801</v>
      </c>
    </row>
    <row r="292" spans="12:20" x14ac:dyDescent="0.35">
      <c r="L292" t="str">
        <f ca="1">IFERROR(_xludf.XLOOKUP(C292,CodePath_Defaults!A:A,CodePath_Defaults!D:D,""),IFERROR(_xludf.XLOOKUP(B292,CodePath_Defaults!B:B,CodePath_Defaults!D:D,""),""))</f>
        <v/>
      </c>
      <c r="T292" t="s">
        <v>801</v>
      </c>
    </row>
    <row r="293" spans="12:20" x14ac:dyDescent="0.35">
      <c r="L293" t="str">
        <f ca="1">IFERROR(_xludf.XLOOKUP(C293,CodePath_Defaults!A:A,CodePath_Defaults!D:D,""),IFERROR(_xludf.XLOOKUP(B293,CodePath_Defaults!B:B,CodePath_Defaults!D:D,""),""))</f>
        <v/>
      </c>
      <c r="T293" t="s">
        <v>801</v>
      </c>
    </row>
    <row r="294" spans="12:20" x14ac:dyDescent="0.35">
      <c r="L294" t="str">
        <f ca="1">IFERROR(_xludf.XLOOKUP(C294,CodePath_Defaults!A:A,CodePath_Defaults!D:D,""),IFERROR(_xludf.XLOOKUP(B294,CodePath_Defaults!B:B,CodePath_Defaults!D:D,""),""))</f>
        <v/>
      </c>
      <c r="T294" t="s">
        <v>801</v>
      </c>
    </row>
    <row r="295" spans="12:20" x14ac:dyDescent="0.35">
      <c r="L295" t="str">
        <f ca="1">IFERROR(_xludf.XLOOKUP(C295,CodePath_Defaults!A:A,CodePath_Defaults!D:D,""),IFERROR(_xludf.XLOOKUP(B295,CodePath_Defaults!B:B,CodePath_Defaults!D:D,""),""))</f>
        <v/>
      </c>
      <c r="T295" t="s">
        <v>801</v>
      </c>
    </row>
    <row r="296" spans="12:20" x14ac:dyDescent="0.35">
      <c r="L296" t="str">
        <f ca="1">IFERROR(_xludf.XLOOKUP(C296,CodePath_Defaults!A:A,CodePath_Defaults!D:D,""),IFERROR(_xludf.XLOOKUP(B296,CodePath_Defaults!B:B,CodePath_Defaults!D:D,""),""))</f>
        <v/>
      </c>
      <c r="T296" t="s">
        <v>801</v>
      </c>
    </row>
    <row r="297" spans="12:20" x14ac:dyDescent="0.35">
      <c r="L297" t="str">
        <f ca="1">IFERROR(_xludf.XLOOKUP(C297,CodePath_Defaults!A:A,CodePath_Defaults!D:D,""),IFERROR(_xludf.XLOOKUP(B297,CodePath_Defaults!B:B,CodePath_Defaults!D:D,""),""))</f>
        <v/>
      </c>
      <c r="T297" t="s">
        <v>801</v>
      </c>
    </row>
    <row r="298" spans="12:20" x14ac:dyDescent="0.35">
      <c r="L298" t="str">
        <f ca="1">IFERROR(_xludf.XLOOKUP(C298,CodePath_Defaults!A:A,CodePath_Defaults!D:D,""),IFERROR(_xludf.XLOOKUP(B298,CodePath_Defaults!B:B,CodePath_Defaults!D:D,""),""))</f>
        <v/>
      </c>
      <c r="T298" t="s">
        <v>801</v>
      </c>
    </row>
    <row r="299" spans="12:20" x14ac:dyDescent="0.35">
      <c r="L299" t="str">
        <f ca="1">IFERROR(_xludf.XLOOKUP(C299,CodePath_Defaults!A:A,CodePath_Defaults!D:D,""),IFERROR(_xludf.XLOOKUP(B299,CodePath_Defaults!B:B,CodePath_Defaults!D:D,""),""))</f>
        <v/>
      </c>
      <c r="T299" t="s">
        <v>801</v>
      </c>
    </row>
    <row r="300" spans="12:20" x14ac:dyDescent="0.35">
      <c r="L300" t="str">
        <f ca="1">IFERROR(_xludf.XLOOKUP(C300,CodePath_Defaults!A:A,CodePath_Defaults!D:D,""),IFERROR(_xludf.XLOOKUP(B300,CodePath_Defaults!B:B,CodePath_Defaults!D:D,""),""))</f>
        <v/>
      </c>
      <c r="T300" t="s">
        <v>801</v>
      </c>
    </row>
    <row r="301" spans="12:20" x14ac:dyDescent="0.35">
      <c r="L301" t="str">
        <f ca="1">IFERROR(_xludf.XLOOKUP(C301,CodePath_Defaults!A:A,CodePath_Defaults!D:D,""),IFERROR(_xludf.XLOOKUP(B301,CodePath_Defaults!B:B,CodePath_Defaults!D:D,""),""))</f>
        <v/>
      </c>
      <c r="T301" t="s">
        <v>801</v>
      </c>
    </row>
    <row r="302" spans="12:20" x14ac:dyDescent="0.35">
      <c r="L302" t="str">
        <f ca="1">IFERROR(_xludf.XLOOKUP(C302,CodePath_Defaults!A:A,CodePath_Defaults!D:D,""),IFERROR(_xludf.XLOOKUP(B302,CodePath_Defaults!B:B,CodePath_Defaults!D:D,""),""))</f>
        <v/>
      </c>
      <c r="T302" t="s">
        <v>801</v>
      </c>
    </row>
    <row r="303" spans="12:20" x14ac:dyDescent="0.35">
      <c r="L303" t="str">
        <f ca="1">IFERROR(_xludf.XLOOKUP(C303,CodePath_Defaults!A:A,CodePath_Defaults!D:D,""),IFERROR(_xludf.XLOOKUP(B303,CodePath_Defaults!B:B,CodePath_Defaults!D:D,""),""))</f>
        <v/>
      </c>
      <c r="T303" t="s">
        <v>801</v>
      </c>
    </row>
    <row r="304" spans="12:20" x14ac:dyDescent="0.35">
      <c r="L304" t="str">
        <f ca="1">IFERROR(_xludf.XLOOKUP(C304,CodePath_Defaults!A:A,CodePath_Defaults!D:D,""),IFERROR(_xludf.XLOOKUP(B304,CodePath_Defaults!B:B,CodePath_Defaults!D:D,""),""))</f>
        <v/>
      </c>
      <c r="T304" t="s">
        <v>801</v>
      </c>
    </row>
    <row r="305" spans="12:20" x14ac:dyDescent="0.35">
      <c r="L305" t="str">
        <f ca="1">IFERROR(_xludf.XLOOKUP(C305,CodePath_Defaults!A:A,CodePath_Defaults!D:D,""),IFERROR(_xludf.XLOOKUP(B305,CodePath_Defaults!B:B,CodePath_Defaults!D:D,""),""))</f>
        <v/>
      </c>
      <c r="T305" t="s">
        <v>801</v>
      </c>
    </row>
    <row r="306" spans="12:20" x14ac:dyDescent="0.35">
      <c r="L306" t="str">
        <f ca="1">IFERROR(_xludf.XLOOKUP(C306,CodePath_Defaults!A:A,CodePath_Defaults!D:D,""),IFERROR(_xludf.XLOOKUP(B306,CodePath_Defaults!B:B,CodePath_Defaults!D:D,""),""))</f>
        <v/>
      </c>
      <c r="T306" t="s">
        <v>801</v>
      </c>
    </row>
    <row r="307" spans="12:20" x14ac:dyDescent="0.35">
      <c r="L307" t="str">
        <f ca="1">IFERROR(_xludf.XLOOKUP(C307,CodePath_Defaults!A:A,CodePath_Defaults!D:D,""),IFERROR(_xludf.XLOOKUP(B307,CodePath_Defaults!B:B,CodePath_Defaults!D:D,""),""))</f>
        <v/>
      </c>
      <c r="T307" t="s">
        <v>801</v>
      </c>
    </row>
    <row r="308" spans="12:20" x14ac:dyDescent="0.35">
      <c r="L308" t="str">
        <f ca="1">IFERROR(_xludf.XLOOKUP(C308,CodePath_Defaults!A:A,CodePath_Defaults!D:D,""),IFERROR(_xludf.XLOOKUP(B308,CodePath_Defaults!B:B,CodePath_Defaults!D:D,""),""))</f>
        <v/>
      </c>
      <c r="T308" t="s">
        <v>801</v>
      </c>
    </row>
    <row r="309" spans="12:20" x14ac:dyDescent="0.35">
      <c r="L309" t="str">
        <f ca="1">IFERROR(_xludf.XLOOKUP(C309,CodePath_Defaults!A:A,CodePath_Defaults!D:D,""),IFERROR(_xludf.XLOOKUP(B309,CodePath_Defaults!B:B,CodePath_Defaults!D:D,""),""))</f>
        <v/>
      </c>
      <c r="T309" t="s">
        <v>801</v>
      </c>
    </row>
    <row r="310" spans="12:20" x14ac:dyDescent="0.35">
      <c r="L310" t="str">
        <f ca="1">IFERROR(_xludf.XLOOKUP(C310,CodePath_Defaults!A:A,CodePath_Defaults!D:D,""),IFERROR(_xludf.XLOOKUP(B310,CodePath_Defaults!B:B,CodePath_Defaults!D:D,""),""))</f>
        <v/>
      </c>
      <c r="T310" t="s">
        <v>801</v>
      </c>
    </row>
    <row r="311" spans="12:20" x14ac:dyDescent="0.35">
      <c r="L311" t="str">
        <f ca="1">IFERROR(_xludf.XLOOKUP(C311,CodePath_Defaults!A:A,CodePath_Defaults!D:D,""),IFERROR(_xludf.XLOOKUP(B311,CodePath_Defaults!B:B,CodePath_Defaults!D:D,""),""))</f>
        <v/>
      </c>
      <c r="T311" t="s">
        <v>801</v>
      </c>
    </row>
    <row r="312" spans="12:20" x14ac:dyDescent="0.35">
      <c r="L312" t="str">
        <f ca="1">IFERROR(_xludf.XLOOKUP(C312,CodePath_Defaults!A:A,CodePath_Defaults!D:D,""),IFERROR(_xludf.XLOOKUP(B312,CodePath_Defaults!B:B,CodePath_Defaults!D:D,""),""))</f>
        <v/>
      </c>
      <c r="T312" t="s">
        <v>801</v>
      </c>
    </row>
    <row r="313" spans="12:20" x14ac:dyDescent="0.35">
      <c r="L313" t="str">
        <f ca="1">IFERROR(_xludf.XLOOKUP(C313,CodePath_Defaults!A:A,CodePath_Defaults!D:D,""),IFERROR(_xludf.XLOOKUP(B313,CodePath_Defaults!B:B,CodePath_Defaults!D:D,""),""))</f>
        <v/>
      </c>
      <c r="T313" t="s">
        <v>801</v>
      </c>
    </row>
    <row r="314" spans="12:20" x14ac:dyDescent="0.35">
      <c r="L314" t="str">
        <f ca="1">IFERROR(_xludf.XLOOKUP(C314,CodePath_Defaults!A:A,CodePath_Defaults!D:D,""),IFERROR(_xludf.XLOOKUP(B314,CodePath_Defaults!B:B,CodePath_Defaults!D:D,""),""))</f>
        <v/>
      </c>
      <c r="T314" t="s">
        <v>801</v>
      </c>
    </row>
    <row r="315" spans="12:20" x14ac:dyDescent="0.35">
      <c r="L315" t="str">
        <f ca="1">IFERROR(_xludf.XLOOKUP(C315,CodePath_Defaults!A:A,CodePath_Defaults!D:D,""),IFERROR(_xludf.XLOOKUP(B315,CodePath_Defaults!B:B,CodePath_Defaults!D:D,""),""))</f>
        <v/>
      </c>
      <c r="T315" t="s">
        <v>801</v>
      </c>
    </row>
    <row r="316" spans="12:20" x14ac:dyDescent="0.35">
      <c r="L316" t="str">
        <f ca="1">IFERROR(_xludf.XLOOKUP(C316,CodePath_Defaults!A:A,CodePath_Defaults!D:D,""),IFERROR(_xludf.XLOOKUP(B316,CodePath_Defaults!B:B,CodePath_Defaults!D:D,""),""))</f>
        <v/>
      </c>
      <c r="T316" t="s">
        <v>801</v>
      </c>
    </row>
    <row r="317" spans="12:20" x14ac:dyDescent="0.35">
      <c r="L317" t="str">
        <f ca="1">IFERROR(_xludf.XLOOKUP(C317,CodePath_Defaults!A:A,CodePath_Defaults!D:D,""),IFERROR(_xludf.XLOOKUP(B317,CodePath_Defaults!B:B,CodePath_Defaults!D:D,""),""))</f>
        <v/>
      </c>
      <c r="T317" t="s">
        <v>801</v>
      </c>
    </row>
    <row r="318" spans="12:20" x14ac:dyDescent="0.35">
      <c r="L318" t="str">
        <f ca="1">IFERROR(_xludf.XLOOKUP(C318,CodePath_Defaults!A:A,CodePath_Defaults!D:D,""),IFERROR(_xludf.XLOOKUP(B318,CodePath_Defaults!B:B,CodePath_Defaults!D:D,""),""))</f>
        <v/>
      </c>
      <c r="T318" t="s">
        <v>801</v>
      </c>
    </row>
    <row r="319" spans="12:20" x14ac:dyDescent="0.35">
      <c r="L319" t="str">
        <f ca="1">IFERROR(_xludf.XLOOKUP(C319,CodePath_Defaults!A:A,CodePath_Defaults!D:D,""),IFERROR(_xludf.XLOOKUP(B319,CodePath_Defaults!B:B,CodePath_Defaults!D:D,""),""))</f>
        <v/>
      </c>
      <c r="T319" t="s">
        <v>801</v>
      </c>
    </row>
    <row r="320" spans="12:20" x14ac:dyDescent="0.35">
      <c r="L320" t="str">
        <f ca="1">IFERROR(_xludf.XLOOKUP(C320,CodePath_Defaults!A:A,CodePath_Defaults!D:D,""),IFERROR(_xludf.XLOOKUP(B320,CodePath_Defaults!B:B,CodePath_Defaults!D:D,""),""))</f>
        <v/>
      </c>
      <c r="T320" t="s">
        <v>801</v>
      </c>
    </row>
    <row r="321" spans="12:20" x14ac:dyDescent="0.35">
      <c r="L321" t="str">
        <f ca="1">IFERROR(_xludf.XLOOKUP(C321,CodePath_Defaults!A:A,CodePath_Defaults!D:D,""),IFERROR(_xludf.XLOOKUP(B321,CodePath_Defaults!B:B,CodePath_Defaults!D:D,""),""))</f>
        <v/>
      </c>
      <c r="T321" t="s">
        <v>801</v>
      </c>
    </row>
    <row r="322" spans="12:20" x14ac:dyDescent="0.35">
      <c r="L322" t="str">
        <f ca="1">IFERROR(_xludf.XLOOKUP(C322,CodePath_Defaults!A:A,CodePath_Defaults!D:D,""),IFERROR(_xludf.XLOOKUP(B322,CodePath_Defaults!B:B,CodePath_Defaults!D:D,""),""))</f>
        <v/>
      </c>
      <c r="T322" t="s">
        <v>801</v>
      </c>
    </row>
    <row r="323" spans="12:20" x14ac:dyDescent="0.35">
      <c r="L323" t="str">
        <f ca="1">IFERROR(_xludf.XLOOKUP(C323,CodePath_Defaults!A:A,CodePath_Defaults!D:D,""),IFERROR(_xludf.XLOOKUP(B323,CodePath_Defaults!B:B,CodePath_Defaults!D:D,""),""))</f>
        <v/>
      </c>
      <c r="T323" t="s">
        <v>801</v>
      </c>
    </row>
    <row r="324" spans="12:20" x14ac:dyDescent="0.35">
      <c r="L324" t="str">
        <f ca="1">IFERROR(_xludf.XLOOKUP(C324,CodePath_Defaults!A:A,CodePath_Defaults!D:D,""),IFERROR(_xludf.XLOOKUP(B324,CodePath_Defaults!B:B,CodePath_Defaults!D:D,""),""))</f>
        <v/>
      </c>
      <c r="T324" t="s">
        <v>801</v>
      </c>
    </row>
    <row r="325" spans="12:20" x14ac:dyDescent="0.35">
      <c r="L325" t="str">
        <f ca="1">IFERROR(_xludf.XLOOKUP(C325,CodePath_Defaults!A:A,CodePath_Defaults!D:D,""),IFERROR(_xludf.XLOOKUP(B325,CodePath_Defaults!B:B,CodePath_Defaults!D:D,""),""))</f>
        <v/>
      </c>
      <c r="T325" t="s">
        <v>801</v>
      </c>
    </row>
    <row r="326" spans="12:20" x14ac:dyDescent="0.35">
      <c r="L326" t="str">
        <f ca="1">IFERROR(_xludf.XLOOKUP(C326,CodePath_Defaults!A:A,CodePath_Defaults!D:D,""),IFERROR(_xludf.XLOOKUP(B326,CodePath_Defaults!B:B,CodePath_Defaults!D:D,""),""))</f>
        <v/>
      </c>
      <c r="T326" t="s">
        <v>801</v>
      </c>
    </row>
    <row r="327" spans="12:20" x14ac:dyDescent="0.35">
      <c r="L327" t="str">
        <f ca="1">IFERROR(_xludf.XLOOKUP(C327,CodePath_Defaults!A:A,CodePath_Defaults!D:D,""),IFERROR(_xludf.XLOOKUP(B327,CodePath_Defaults!B:B,CodePath_Defaults!D:D,""),""))</f>
        <v/>
      </c>
      <c r="T327" t="s">
        <v>801</v>
      </c>
    </row>
    <row r="328" spans="12:20" x14ac:dyDescent="0.35">
      <c r="L328" t="str">
        <f ca="1">IFERROR(_xludf.XLOOKUP(C328,CodePath_Defaults!A:A,CodePath_Defaults!D:D,""),IFERROR(_xludf.XLOOKUP(B328,CodePath_Defaults!B:B,CodePath_Defaults!D:D,""),""))</f>
        <v/>
      </c>
      <c r="T328" t="s">
        <v>801</v>
      </c>
    </row>
    <row r="329" spans="12:20" x14ac:dyDescent="0.35">
      <c r="L329" t="str">
        <f ca="1">IFERROR(_xludf.XLOOKUP(C329,CodePath_Defaults!A:A,CodePath_Defaults!D:D,""),IFERROR(_xludf.XLOOKUP(B329,CodePath_Defaults!B:B,CodePath_Defaults!D:D,""),""))</f>
        <v/>
      </c>
      <c r="T329" t="s">
        <v>801</v>
      </c>
    </row>
    <row r="330" spans="12:20" x14ac:dyDescent="0.35">
      <c r="L330" t="str">
        <f ca="1">IFERROR(_xludf.XLOOKUP(C330,CodePath_Defaults!A:A,CodePath_Defaults!D:D,""),IFERROR(_xludf.XLOOKUP(B330,CodePath_Defaults!B:B,CodePath_Defaults!D:D,""),""))</f>
        <v/>
      </c>
      <c r="T330" t="s">
        <v>801</v>
      </c>
    </row>
    <row r="331" spans="12:20" x14ac:dyDescent="0.35">
      <c r="L331" t="str">
        <f ca="1">IFERROR(_xludf.XLOOKUP(C331,CodePath_Defaults!A:A,CodePath_Defaults!D:D,""),IFERROR(_xludf.XLOOKUP(B331,CodePath_Defaults!B:B,CodePath_Defaults!D:D,""),""))</f>
        <v/>
      </c>
      <c r="T331" t="s">
        <v>801</v>
      </c>
    </row>
    <row r="332" spans="12:20" x14ac:dyDescent="0.35">
      <c r="L332" t="str">
        <f ca="1">IFERROR(_xludf.XLOOKUP(C332,CodePath_Defaults!A:A,CodePath_Defaults!D:D,""),IFERROR(_xludf.XLOOKUP(B332,CodePath_Defaults!B:B,CodePath_Defaults!D:D,""),""))</f>
        <v/>
      </c>
      <c r="T332" t="s">
        <v>801</v>
      </c>
    </row>
    <row r="333" spans="12:20" x14ac:dyDescent="0.35">
      <c r="L333" t="str">
        <f ca="1">IFERROR(_xludf.XLOOKUP(C333,CodePath_Defaults!A:A,CodePath_Defaults!D:D,""),IFERROR(_xludf.XLOOKUP(B333,CodePath_Defaults!B:B,CodePath_Defaults!D:D,""),""))</f>
        <v/>
      </c>
      <c r="T333" t="s">
        <v>801</v>
      </c>
    </row>
    <row r="334" spans="12:20" x14ac:dyDescent="0.35">
      <c r="L334" t="str">
        <f ca="1">IFERROR(_xludf.XLOOKUP(C334,CodePath_Defaults!A:A,CodePath_Defaults!D:D,""),IFERROR(_xludf.XLOOKUP(B334,CodePath_Defaults!B:B,CodePath_Defaults!D:D,""),""))</f>
        <v/>
      </c>
      <c r="T334" t="s">
        <v>801</v>
      </c>
    </row>
    <row r="335" spans="12:20" x14ac:dyDescent="0.35">
      <c r="L335" t="str">
        <f ca="1">IFERROR(_xludf.XLOOKUP(C335,CodePath_Defaults!A:A,CodePath_Defaults!D:D,""),IFERROR(_xludf.XLOOKUP(B335,CodePath_Defaults!B:B,CodePath_Defaults!D:D,""),""))</f>
        <v/>
      </c>
      <c r="T335" t="s">
        <v>801</v>
      </c>
    </row>
    <row r="336" spans="12:20" x14ac:dyDescent="0.35">
      <c r="L336" t="str">
        <f ca="1">IFERROR(_xludf.XLOOKUP(C336,CodePath_Defaults!A:A,CodePath_Defaults!D:D,""),IFERROR(_xludf.XLOOKUP(B336,CodePath_Defaults!B:B,CodePath_Defaults!D:D,""),""))</f>
        <v/>
      </c>
      <c r="T336" t="s">
        <v>801</v>
      </c>
    </row>
    <row r="337" spans="12:20" x14ac:dyDescent="0.35">
      <c r="L337" t="str">
        <f ca="1">IFERROR(_xludf.XLOOKUP(C337,CodePath_Defaults!A:A,CodePath_Defaults!D:D,""),IFERROR(_xludf.XLOOKUP(B337,CodePath_Defaults!B:B,CodePath_Defaults!D:D,""),""))</f>
        <v/>
      </c>
      <c r="T337" t="s">
        <v>801</v>
      </c>
    </row>
    <row r="338" spans="12:20" x14ac:dyDescent="0.35">
      <c r="L338" t="str">
        <f ca="1">IFERROR(_xludf.XLOOKUP(C338,CodePath_Defaults!A:A,CodePath_Defaults!D:D,""),IFERROR(_xludf.XLOOKUP(B338,CodePath_Defaults!B:B,CodePath_Defaults!D:D,""),""))</f>
        <v/>
      </c>
      <c r="T338" t="s">
        <v>801</v>
      </c>
    </row>
    <row r="339" spans="12:20" x14ac:dyDescent="0.35">
      <c r="L339" t="str">
        <f ca="1">IFERROR(_xludf.XLOOKUP(C339,CodePath_Defaults!A:A,CodePath_Defaults!D:D,""),IFERROR(_xludf.XLOOKUP(B339,CodePath_Defaults!B:B,CodePath_Defaults!D:D,""),""))</f>
        <v/>
      </c>
      <c r="T339" t="s">
        <v>801</v>
      </c>
    </row>
    <row r="340" spans="12:20" x14ac:dyDescent="0.35">
      <c r="L340" t="str">
        <f ca="1">IFERROR(_xludf.XLOOKUP(C340,CodePath_Defaults!A:A,CodePath_Defaults!D:D,""),IFERROR(_xludf.XLOOKUP(B340,CodePath_Defaults!B:B,CodePath_Defaults!D:D,""),""))</f>
        <v/>
      </c>
      <c r="T340" t="s">
        <v>801</v>
      </c>
    </row>
    <row r="341" spans="12:20" x14ac:dyDescent="0.35">
      <c r="L341" t="str">
        <f ca="1">IFERROR(_xludf.XLOOKUP(C341,CodePath_Defaults!A:A,CodePath_Defaults!D:D,""),IFERROR(_xludf.XLOOKUP(B341,CodePath_Defaults!B:B,CodePath_Defaults!D:D,""),""))</f>
        <v/>
      </c>
      <c r="T341" t="s">
        <v>801</v>
      </c>
    </row>
    <row r="342" spans="12:20" x14ac:dyDescent="0.35">
      <c r="L342" t="str">
        <f ca="1">IFERROR(_xludf.XLOOKUP(C342,CodePath_Defaults!A:A,CodePath_Defaults!D:D,""),IFERROR(_xludf.XLOOKUP(B342,CodePath_Defaults!B:B,CodePath_Defaults!D:D,""),""))</f>
        <v/>
      </c>
      <c r="T342" t="s">
        <v>801</v>
      </c>
    </row>
    <row r="343" spans="12:20" x14ac:dyDescent="0.35">
      <c r="L343" t="str">
        <f ca="1">IFERROR(_xludf.XLOOKUP(C343,CodePath_Defaults!A:A,CodePath_Defaults!D:D,""),IFERROR(_xludf.XLOOKUP(B343,CodePath_Defaults!B:B,CodePath_Defaults!D:D,""),""))</f>
        <v/>
      </c>
      <c r="T343" t="s">
        <v>801</v>
      </c>
    </row>
    <row r="344" spans="12:20" x14ac:dyDescent="0.35">
      <c r="L344" t="str">
        <f ca="1">IFERROR(_xludf.XLOOKUP(C344,CodePath_Defaults!A:A,CodePath_Defaults!D:D,""),IFERROR(_xludf.XLOOKUP(B344,CodePath_Defaults!B:B,CodePath_Defaults!D:D,""),""))</f>
        <v/>
      </c>
      <c r="T344" t="s">
        <v>801</v>
      </c>
    </row>
    <row r="345" spans="12:20" x14ac:dyDescent="0.35">
      <c r="L345" t="str">
        <f ca="1">IFERROR(_xludf.XLOOKUP(C345,CodePath_Defaults!A:A,CodePath_Defaults!D:D,""),IFERROR(_xludf.XLOOKUP(B345,CodePath_Defaults!B:B,CodePath_Defaults!D:D,""),""))</f>
        <v/>
      </c>
      <c r="T345" t="s">
        <v>801</v>
      </c>
    </row>
    <row r="346" spans="12:20" x14ac:dyDescent="0.35">
      <c r="L346" t="str">
        <f ca="1">IFERROR(_xludf.XLOOKUP(C346,CodePath_Defaults!A:A,CodePath_Defaults!D:D,""),IFERROR(_xludf.XLOOKUP(B346,CodePath_Defaults!B:B,CodePath_Defaults!D:D,""),""))</f>
        <v/>
      </c>
      <c r="T346" t="s">
        <v>801</v>
      </c>
    </row>
    <row r="347" spans="12:20" x14ac:dyDescent="0.35">
      <c r="L347" t="str">
        <f ca="1">IFERROR(_xludf.XLOOKUP(C347,CodePath_Defaults!A:A,CodePath_Defaults!D:D,""),IFERROR(_xludf.XLOOKUP(B347,CodePath_Defaults!B:B,CodePath_Defaults!D:D,""),""))</f>
        <v/>
      </c>
      <c r="T347" t="s">
        <v>801</v>
      </c>
    </row>
    <row r="348" spans="12:20" x14ac:dyDescent="0.35">
      <c r="L348" t="str">
        <f ca="1">IFERROR(_xludf.XLOOKUP(C348,CodePath_Defaults!A:A,CodePath_Defaults!D:D,""),IFERROR(_xludf.XLOOKUP(B348,CodePath_Defaults!B:B,CodePath_Defaults!D:D,""),""))</f>
        <v/>
      </c>
      <c r="T348" t="s">
        <v>801</v>
      </c>
    </row>
    <row r="349" spans="12:20" x14ac:dyDescent="0.35">
      <c r="L349" t="str">
        <f ca="1">IFERROR(_xludf.XLOOKUP(C349,CodePath_Defaults!A:A,CodePath_Defaults!D:D,""),IFERROR(_xludf.XLOOKUP(B349,CodePath_Defaults!B:B,CodePath_Defaults!D:D,""),""))</f>
        <v/>
      </c>
      <c r="T349" t="s">
        <v>801</v>
      </c>
    </row>
    <row r="350" spans="12:20" x14ac:dyDescent="0.35">
      <c r="L350" t="str">
        <f ca="1">IFERROR(_xludf.XLOOKUP(C350,CodePath_Defaults!A:A,CodePath_Defaults!D:D,""),IFERROR(_xludf.XLOOKUP(B350,CodePath_Defaults!B:B,CodePath_Defaults!D:D,""),""))</f>
        <v/>
      </c>
      <c r="T350" t="s">
        <v>801</v>
      </c>
    </row>
    <row r="351" spans="12:20" x14ac:dyDescent="0.35">
      <c r="L351" t="str">
        <f ca="1">IFERROR(_xludf.XLOOKUP(C351,CodePath_Defaults!A:A,CodePath_Defaults!D:D,""),IFERROR(_xludf.XLOOKUP(B351,CodePath_Defaults!B:B,CodePath_Defaults!D:D,""),""))</f>
        <v/>
      </c>
      <c r="T351" t="s">
        <v>801</v>
      </c>
    </row>
    <row r="352" spans="12:20" x14ac:dyDescent="0.35">
      <c r="L352" t="str">
        <f ca="1">IFERROR(_xludf.XLOOKUP(C352,CodePath_Defaults!A:A,CodePath_Defaults!D:D,""),IFERROR(_xludf.XLOOKUP(B352,CodePath_Defaults!B:B,CodePath_Defaults!D:D,""),""))</f>
        <v/>
      </c>
      <c r="T352" t="s">
        <v>801</v>
      </c>
    </row>
    <row r="353" spans="12:20" x14ac:dyDescent="0.35">
      <c r="L353" t="str">
        <f ca="1">IFERROR(_xludf.XLOOKUP(C353,CodePath_Defaults!A:A,CodePath_Defaults!D:D,""),IFERROR(_xludf.XLOOKUP(B353,CodePath_Defaults!B:B,CodePath_Defaults!D:D,""),""))</f>
        <v/>
      </c>
      <c r="T353" t="s">
        <v>801</v>
      </c>
    </row>
    <row r="354" spans="12:20" x14ac:dyDescent="0.35">
      <c r="L354" t="str">
        <f ca="1">IFERROR(_xludf.XLOOKUP(C354,CodePath_Defaults!A:A,CodePath_Defaults!D:D,""),IFERROR(_xludf.XLOOKUP(B354,CodePath_Defaults!B:B,CodePath_Defaults!D:D,""),""))</f>
        <v/>
      </c>
      <c r="T354" t="s">
        <v>801</v>
      </c>
    </row>
    <row r="355" spans="12:20" x14ac:dyDescent="0.35">
      <c r="L355" t="str">
        <f ca="1">IFERROR(_xludf.XLOOKUP(C355,CodePath_Defaults!A:A,CodePath_Defaults!D:D,""),IFERROR(_xludf.XLOOKUP(B355,CodePath_Defaults!B:B,CodePath_Defaults!D:D,""),""))</f>
        <v/>
      </c>
      <c r="T355" t="s">
        <v>801</v>
      </c>
    </row>
    <row r="356" spans="12:20" x14ac:dyDescent="0.35">
      <c r="L356" t="str">
        <f ca="1">IFERROR(_xludf.XLOOKUP(C356,CodePath_Defaults!A:A,CodePath_Defaults!D:D,""),IFERROR(_xludf.XLOOKUP(B356,CodePath_Defaults!B:B,CodePath_Defaults!D:D,""),""))</f>
        <v/>
      </c>
      <c r="T356" t="s">
        <v>801</v>
      </c>
    </row>
    <row r="357" spans="12:20" x14ac:dyDescent="0.35">
      <c r="L357" t="str">
        <f ca="1">IFERROR(_xludf.XLOOKUP(C357,CodePath_Defaults!A:A,CodePath_Defaults!D:D,""),IFERROR(_xludf.XLOOKUP(B357,CodePath_Defaults!B:B,CodePath_Defaults!D:D,""),""))</f>
        <v/>
      </c>
      <c r="T357" t="s">
        <v>801</v>
      </c>
    </row>
    <row r="358" spans="12:20" x14ac:dyDescent="0.35">
      <c r="L358" t="str">
        <f ca="1">IFERROR(_xludf.XLOOKUP(C358,CodePath_Defaults!A:A,CodePath_Defaults!D:D,""),IFERROR(_xludf.XLOOKUP(B358,CodePath_Defaults!B:B,CodePath_Defaults!D:D,""),""))</f>
        <v/>
      </c>
      <c r="T358" t="s">
        <v>801</v>
      </c>
    </row>
    <row r="359" spans="12:20" x14ac:dyDescent="0.35">
      <c r="L359" t="str">
        <f ca="1">IFERROR(_xludf.XLOOKUP(C359,CodePath_Defaults!A:A,CodePath_Defaults!D:D,""),IFERROR(_xludf.XLOOKUP(B359,CodePath_Defaults!B:B,CodePath_Defaults!D:D,""),""))</f>
        <v/>
      </c>
      <c r="T359" t="s">
        <v>801</v>
      </c>
    </row>
    <row r="360" spans="12:20" x14ac:dyDescent="0.35">
      <c r="L360" t="str">
        <f ca="1">IFERROR(_xludf.XLOOKUP(C360,CodePath_Defaults!A:A,CodePath_Defaults!D:D,""),IFERROR(_xludf.XLOOKUP(B360,CodePath_Defaults!B:B,CodePath_Defaults!D:D,""),""))</f>
        <v/>
      </c>
      <c r="T360" t="s">
        <v>801</v>
      </c>
    </row>
    <row r="361" spans="12:20" x14ac:dyDescent="0.35">
      <c r="L361" t="str">
        <f ca="1">IFERROR(_xludf.XLOOKUP(C361,CodePath_Defaults!A:A,CodePath_Defaults!D:D,""),IFERROR(_xludf.XLOOKUP(B361,CodePath_Defaults!B:B,CodePath_Defaults!D:D,""),""))</f>
        <v/>
      </c>
      <c r="T361" t="s">
        <v>801</v>
      </c>
    </row>
    <row r="362" spans="12:20" x14ac:dyDescent="0.35">
      <c r="L362" t="str">
        <f ca="1">IFERROR(_xludf.XLOOKUP(C362,CodePath_Defaults!A:A,CodePath_Defaults!D:D,""),IFERROR(_xludf.XLOOKUP(B362,CodePath_Defaults!B:B,CodePath_Defaults!D:D,""),""))</f>
        <v/>
      </c>
      <c r="T362" t="s">
        <v>801</v>
      </c>
    </row>
    <row r="363" spans="12:20" x14ac:dyDescent="0.35">
      <c r="L363" t="str">
        <f ca="1">IFERROR(_xludf.XLOOKUP(C363,CodePath_Defaults!A:A,CodePath_Defaults!D:D,""),IFERROR(_xludf.XLOOKUP(B363,CodePath_Defaults!B:B,CodePath_Defaults!D:D,""),""))</f>
        <v/>
      </c>
      <c r="T363" t="s">
        <v>801</v>
      </c>
    </row>
    <row r="364" spans="12:20" x14ac:dyDescent="0.35">
      <c r="L364" t="str">
        <f ca="1">IFERROR(_xludf.XLOOKUP(C364,CodePath_Defaults!A:A,CodePath_Defaults!D:D,""),IFERROR(_xludf.XLOOKUP(B364,CodePath_Defaults!B:B,CodePath_Defaults!D:D,""),""))</f>
        <v/>
      </c>
      <c r="T364" t="s">
        <v>801</v>
      </c>
    </row>
    <row r="365" spans="12:20" x14ac:dyDescent="0.35">
      <c r="L365" t="str">
        <f ca="1">IFERROR(_xludf.XLOOKUP(C365,CodePath_Defaults!A:A,CodePath_Defaults!D:D,""),IFERROR(_xludf.XLOOKUP(B365,CodePath_Defaults!B:B,CodePath_Defaults!D:D,""),""))</f>
        <v/>
      </c>
      <c r="T365" t="s">
        <v>801</v>
      </c>
    </row>
    <row r="366" spans="12:20" x14ac:dyDescent="0.35">
      <c r="L366" t="str">
        <f ca="1">IFERROR(_xludf.XLOOKUP(C366,CodePath_Defaults!A:A,CodePath_Defaults!D:D,""),IFERROR(_xludf.XLOOKUP(B366,CodePath_Defaults!B:B,CodePath_Defaults!D:D,""),""))</f>
        <v/>
      </c>
      <c r="T366" t="s">
        <v>801</v>
      </c>
    </row>
    <row r="367" spans="12:20" x14ac:dyDescent="0.35">
      <c r="L367" t="str">
        <f ca="1">IFERROR(_xludf.XLOOKUP(C367,CodePath_Defaults!A:A,CodePath_Defaults!D:D,""),IFERROR(_xludf.XLOOKUP(B367,CodePath_Defaults!B:B,CodePath_Defaults!D:D,""),""))</f>
        <v/>
      </c>
      <c r="T367" t="s">
        <v>801</v>
      </c>
    </row>
    <row r="368" spans="12:20" x14ac:dyDescent="0.35">
      <c r="L368" t="str">
        <f ca="1">IFERROR(_xludf.XLOOKUP(C368,CodePath_Defaults!A:A,CodePath_Defaults!D:D,""),IFERROR(_xludf.XLOOKUP(B368,CodePath_Defaults!B:B,CodePath_Defaults!D:D,""),""))</f>
        <v/>
      </c>
      <c r="T368" t="s">
        <v>801</v>
      </c>
    </row>
    <row r="369" spans="12:20" x14ac:dyDescent="0.35">
      <c r="L369" t="str">
        <f ca="1">IFERROR(_xludf.XLOOKUP(C369,CodePath_Defaults!A:A,CodePath_Defaults!D:D,""),IFERROR(_xludf.XLOOKUP(B369,CodePath_Defaults!B:B,CodePath_Defaults!D:D,""),""))</f>
        <v/>
      </c>
      <c r="T369" t="s">
        <v>801</v>
      </c>
    </row>
    <row r="370" spans="12:20" x14ac:dyDescent="0.35">
      <c r="L370" t="str">
        <f ca="1">IFERROR(_xludf.XLOOKUP(C370,CodePath_Defaults!A:A,CodePath_Defaults!D:D,""),IFERROR(_xludf.XLOOKUP(B370,CodePath_Defaults!B:B,CodePath_Defaults!D:D,""),""))</f>
        <v/>
      </c>
      <c r="T370" t="s">
        <v>801</v>
      </c>
    </row>
    <row r="371" spans="12:20" x14ac:dyDescent="0.35">
      <c r="L371" t="str">
        <f ca="1">IFERROR(_xludf.XLOOKUP(C371,CodePath_Defaults!A:A,CodePath_Defaults!D:D,""),IFERROR(_xludf.XLOOKUP(B371,CodePath_Defaults!B:B,CodePath_Defaults!D:D,""),""))</f>
        <v/>
      </c>
      <c r="T371" t="s">
        <v>801</v>
      </c>
    </row>
    <row r="372" spans="12:20" x14ac:dyDescent="0.35">
      <c r="L372" t="str">
        <f ca="1">IFERROR(_xludf.XLOOKUP(C372,CodePath_Defaults!A:A,CodePath_Defaults!D:D,""),IFERROR(_xludf.XLOOKUP(B372,CodePath_Defaults!B:B,CodePath_Defaults!D:D,""),""))</f>
        <v/>
      </c>
      <c r="T372" t="s">
        <v>801</v>
      </c>
    </row>
    <row r="373" spans="12:20" x14ac:dyDescent="0.35">
      <c r="L373" t="str">
        <f ca="1">IFERROR(_xludf.XLOOKUP(C373,CodePath_Defaults!A:A,CodePath_Defaults!D:D,""),IFERROR(_xludf.XLOOKUP(B373,CodePath_Defaults!B:B,CodePath_Defaults!D:D,""),""))</f>
        <v/>
      </c>
      <c r="T373" t="s">
        <v>801</v>
      </c>
    </row>
    <row r="374" spans="12:20" x14ac:dyDescent="0.35">
      <c r="L374" t="str">
        <f ca="1">IFERROR(_xludf.XLOOKUP(C374,CodePath_Defaults!A:A,CodePath_Defaults!D:D,""),IFERROR(_xludf.XLOOKUP(B374,CodePath_Defaults!B:B,CodePath_Defaults!D:D,""),""))</f>
        <v/>
      </c>
      <c r="T374" t="s">
        <v>801</v>
      </c>
    </row>
    <row r="375" spans="12:20" x14ac:dyDescent="0.35">
      <c r="L375" t="str">
        <f ca="1">IFERROR(_xludf.XLOOKUP(C375,CodePath_Defaults!A:A,CodePath_Defaults!D:D,""),IFERROR(_xludf.XLOOKUP(B375,CodePath_Defaults!B:B,CodePath_Defaults!D:D,""),""))</f>
        <v/>
      </c>
      <c r="T375" t="s">
        <v>801</v>
      </c>
    </row>
    <row r="376" spans="12:20" x14ac:dyDescent="0.35">
      <c r="L376" t="str">
        <f ca="1">IFERROR(_xludf.XLOOKUP(C376,CodePath_Defaults!A:A,CodePath_Defaults!D:D,""),IFERROR(_xludf.XLOOKUP(B376,CodePath_Defaults!B:B,CodePath_Defaults!D:D,""),""))</f>
        <v/>
      </c>
      <c r="T376" t="s">
        <v>801</v>
      </c>
    </row>
    <row r="377" spans="12:20" x14ac:dyDescent="0.35">
      <c r="L377" t="str">
        <f ca="1">IFERROR(_xludf.XLOOKUP(C377,CodePath_Defaults!A:A,CodePath_Defaults!D:D,""),IFERROR(_xludf.XLOOKUP(B377,CodePath_Defaults!B:B,CodePath_Defaults!D:D,""),""))</f>
        <v/>
      </c>
      <c r="T377" t="s">
        <v>801</v>
      </c>
    </row>
    <row r="378" spans="12:20" x14ac:dyDescent="0.35">
      <c r="L378" t="str">
        <f ca="1">IFERROR(_xludf.XLOOKUP(C378,CodePath_Defaults!A:A,CodePath_Defaults!D:D,""),IFERROR(_xludf.XLOOKUP(B378,CodePath_Defaults!B:B,CodePath_Defaults!D:D,""),""))</f>
        <v/>
      </c>
      <c r="T378" t="s">
        <v>801</v>
      </c>
    </row>
    <row r="379" spans="12:20" x14ac:dyDescent="0.35">
      <c r="L379" t="str">
        <f ca="1">IFERROR(_xludf.XLOOKUP(C379,CodePath_Defaults!A:A,CodePath_Defaults!D:D,""),IFERROR(_xludf.XLOOKUP(B379,CodePath_Defaults!B:B,CodePath_Defaults!D:D,""),""))</f>
        <v/>
      </c>
      <c r="T379" t="s">
        <v>801</v>
      </c>
    </row>
    <row r="380" spans="12:20" x14ac:dyDescent="0.35">
      <c r="L380" t="str">
        <f ca="1">IFERROR(_xludf.XLOOKUP(C380,CodePath_Defaults!A:A,CodePath_Defaults!D:D,""),IFERROR(_xludf.XLOOKUP(B380,CodePath_Defaults!B:B,CodePath_Defaults!D:D,""),""))</f>
        <v/>
      </c>
      <c r="T380" t="s">
        <v>801</v>
      </c>
    </row>
    <row r="381" spans="12:20" x14ac:dyDescent="0.35">
      <c r="L381" t="str">
        <f ca="1">IFERROR(_xludf.XLOOKUP(C381,CodePath_Defaults!A:A,CodePath_Defaults!D:D,""),IFERROR(_xludf.XLOOKUP(B381,CodePath_Defaults!B:B,CodePath_Defaults!D:D,""),""))</f>
        <v/>
      </c>
      <c r="T381" t="s">
        <v>801</v>
      </c>
    </row>
    <row r="382" spans="12:20" x14ac:dyDescent="0.35">
      <c r="L382" t="str">
        <f ca="1">IFERROR(_xludf.XLOOKUP(C382,CodePath_Defaults!A:A,CodePath_Defaults!D:D,""),IFERROR(_xludf.XLOOKUP(B382,CodePath_Defaults!B:B,CodePath_Defaults!D:D,""),""))</f>
        <v/>
      </c>
      <c r="T382" t="s">
        <v>801</v>
      </c>
    </row>
    <row r="383" spans="12:20" x14ac:dyDescent="0.35">
      <c r="L383" t="str">
        <f ca="1">IFERROR(_xludf.XLOOKUP(C383,CodePath_Defaults!A:A,CodePath_Defaults!D:D,""),IFERROR(_xludf.XLOOKUP(B383,CodePath_Defaults!B:B,CodePath_Defaults!D:D,""),""))</f>
        <v/>
      </c>
      <c r="T383" t="s">
        <v>801</v>
      </c>
    </row>
    <row r="384" spans="12:20" x14ac:dyDescent="0.35">
      <c r="L384" t="str">
        <f ca="1">IFERROR(_xludf.XLOOKUP(C384,CodePath_Defaults!A:A,CodePath_Defaults!D:D,""),IFERROR(_xludf.XLOOKUP(B384,CodePath_Defaults!B:B,CodePath_Defaults!D:D,""),""))</f>
        <v/>
      </c>
      <c r="T384" t="s">
        <v>801</v>
      </c>
    </row>
    <row r="385" spans="12:20" x14ac:dyDescent="0.35">
      <c r="L385" t="str">
        <f ca="1">IFERROR(_xludf.XLOOKUP(C385,CodePath_Defaults!A:A,CodePath_Defaults!D:D,""),IFERROR(_xludf.XLOOKUP(B385,CodePath_Defaults!B:B,CodePath_Defaults!D:D,""),""))</f>
        <v/>
      </c>
      <c r="T385" t="s">
        <v>801</v>
      </c>
    </row>
    <row r="386" spans="12:20" x14ac:dyDescent="0.35">
      <c r="L386" t="str">
        <f ca="1">IFERROR(_xludf.XLOOKUP(C386,CodePath_Defaults!A:A,CodePath_Defaults!D:D,""),IFERROR(_xludf.XLOOKUP(B386,CodePath_Defaults!B:B,CodePath_Defaults!D:D,""),""))</f>
        <v/>
      </c>
      <c r="T386" t="s">
        <v>801</v>
      </c>
    </row>
    <row r="387" spans="12:20" x14ac:dyDescent="0.35">
      <c r="L387" t="str">
        <f ca="1">IFERROR(_xludf.XLOOKUP(C387,CodePath_Defaults!A:A,CodePath_Defaults!D:D,""),IFERROR(_xludf.XLOOKUP(B387,CodePath_Defaults!B:B,CodePath_Defaults!D:D,""),""))</f>
        <v/>
      </c>
      <c r="T387" t="s">
        <v>801</v>
      </c>
    </row>
    <row r="388" spans="12:20" x14ac:dyDescent="0.35">
      <c r="L388" t="str">
        <f ca="1">IFERROR(_xludf.XLOOKUP(C388,CodePath_Defaults!A:A,CodePath_Defaults!D:D,""),IFERROR(_xludf.XLOOKUP(B388,CodePath_Defaults!B:B,CodePath_Defaults!D:D,""),""))</f>
        <v/>
      </c>
      <c r="T388" t="s">
        <v>801</v>
      </c>
    </row>
    <row r="389" spans="12:20" x14ac:dyDescent="0.35">
      <c r="L389" t="str">
        <f ca="1">IFERROR(_xludf.XLOOKUP(C389,CodePath_Defaults!A:A,CodePath_Defaults!D:D,""),IFERROR(_xludf.XLOOKUP(B389,CodePath_Defaults!B:B,CodePath_Defaults!D:D,""),""))</f>
        <v/>
      </c>
      <c r="T389" t="s">
        <v>801</v>
      </c>
    </row>
    <row r="390" spans="12:20" x14ac:dyDescent="0.35">
      <c r="L390" t="str">
        <f ca="1">IFERROR(_xludf.XLOOKUP(C390,CodePath_Defaults!A:A,CodePath_Defaults!D:D,""),IFERROR(_xludf.XLOOKUP(B390,CodePath_Defaults!B:B,CodePath_Defaults!D:D,""),""))</f>
        <v/>
      </c>
      <c r="T390" t="s">
        <v>801</v>
      </c>
    </row>
    <row r="391" spans="12:20" x14ac:dyDescent="0.35">
      <c r="L391" t="str">
        <f ca="1">IFERROR(_xludf.XLOOKUP(C391,CodePath_Defaults!A:A,CodePath_Defaults!D:D,""),IFERROR(_xludf.XLOOKUP(B391,CodePath_Defaults!B:B,CodePath_Defaults!D:D,""),""))</f>
        <v/>
      </c>
      <c r="T391" t="s">
        <v>801</v>
      </c>
    </row>
    <row r="392" spans="12:20" x14ac:dyDescent="0.35">
      <c r="L392" t="str">
        <f ca="1">IFERROR(_xludf.XLOOKUP(C392,CodePath_Defaults!A:A,CodePath_Defaults!D:D,""),IFERROR(_xludf.XLOOKUP(B392,CodePath_Defaults!B:B,CodePath_Defaults!D:D,""),""))</f>
        <v/>
      </c>
      <c r="T392" t="s">
        <v>801</v>
      </c>
    </row>
    <row r="393" spans="12:20" x14ac:dyDescent="0.35">
      <c r="L393" t="str">
        <f ca="1">IFERROR(_xludf.XLOOKUP(C393,CodePath_Defaults!A:A,CodePath_Defaults!D:D,""),IFERROR(_xludf.XLOOKUP(B393,CodePath_Defaults!B:B,CodePath_Defaults!D:D,""),""))</f>
        <v/>
      </c>
      <c r="T393" t="s">
        <v>801</v>
      </c>
    </row>
    <row r="394" spans="12:20" x14ac:dyDescent="0.35">
      <c r="L394" t="str">
        <f ca="1">IFERROR(_xludf.XLOOKUP(C394,CodePath_Defaults!A:A,CodePath_Defaults!D:D,""),IFERROR(_xludf.XLOOKUP(B394,CodePath_Defaults!B:B,CodePath_Defaults!D:D,""),""))</f>
        <v/>
      </c>
      <c r="T394" t="s">
        <v>801</v>
      </c>
    </row>
    <row r="395" spans="12:20" x14ac:dyDescent="0.35">
      <c r="L395" t="str">
        <f ca="1">IFERROR(_xludf.XLOOKUP(C395,CodePath_Defaults!A:A,CodePath_Defaults!D:D,""),IFERROR(_xludf.XLOOKUP(B395,CodePath_Defaults!B:B,CodePath_Defaults!D:D,""),""))</f>
        <v/>
      </c>
      <c r="T395" t="s">
        <v>801</v>
      </c>
    </row>
    <row r="396" spans="12:20" x14ac:dyDescent="0.35">
      <c r="L396" t="str">
        <f ca="1">IFERROR(_xludf.XLOOKUP(C396,CodePath_Defaults!A:A,CodePath_Defaults!D:D,""),IFERROR(_xludf.XLOOKUP(B396,CodePath_Defaults!B:B,CodePath_Defaults!D:D,""),""))</f>
        <v/>
      </c>
      <c r="T396" t="s">
        <v>801</v>
      </c>
    </row>
    <row r="397" spans="12:20" x14ac:dyDescent="0.35">
      <c r="L397" t="str">
        <f ca="1">IFERROR(_xludf.XLOOKUP(C397,CodePath_Defaults!A:A,CodePath_Defaults!D:D,""),IFERROR(_xludf.XLOOKUP(B397,CodePath_Defaults!B:B,CodePath_Defaults!D:D,""),""))</f>
        <v/>
      </c>
      <c r="T397" t="s">
        <v>801</v>
      </c>
    </row>
    <row r="398" spans="12:20" x14ac:dyDescent="0.35">
      <c r="L398" t="str">
        <f ca="1">IFERROR(_xludf.XLOOKUP(C398,CodePath_Defaults!A:A,CodePath_Defaults!D:D,""),IFERROR(_xludf.XLOOKUP(B398,CodePath_Defaults!B:B,CodePath_Defaults!D:D,""),""))</f>
        <v/>
      </c>
      <c r="T398" t="s">
        <v>801</v>
      </c>
    </row>
    <row r="399" spans="12:20" x14ac:dyDescent="0.35">
      <c r="L399" t="str">
        <f ca="1">IFERROR(_xludf.XLOOKUP(C399,CodePath_Defaults!A:A,CodePath_Defaults!D:D,""),IFERROR(_xludf.XLOOKUP(B399,CodePath_Defaults!B:B,CodePath_Defaults!D:D,""),""))</f>
        <v/>
      </c>
      <c r="T399" t="s">
        <v>801</v>
      </c>
    </row>
    <row r="400" spans="12:20" x14ac:dyDescent="0.35">
      <c r="L400" t="str">
        <f ca="1">IFERROR(_xludf.XLOOKUP(C400,CodePath_Defaults!A:A,CodePath_Defaults!D:D,""),IFERROR(_xludf.XLOOKUP(B400,CodePath_Defaults!B:B,CodePath_Defaults!D:D,""),""))</f>
        <v/>
      </c>
      <c r="T400" t="s">
        <v>801</v>
      </c>
    </row>
    <row r="401" spans="12:20" x14ac:dyDescent="0.35">
      <c r="L401" t="str">
        <f ca="1">IFERROR(_xludf.XLOOKUP(C401,CodePath_Defaults!A:A,CodePath_Defaults!D:D,""),IFERROR(_xludf.XLOOKUP(B401,CodePath_Defaults!B:B,CodePath_Defaults!D:D,""),""))</f>
        <v/>
      </c>
      <c r="T401" t="s">
        <v>801</v>
      </c>
    </row>
    <row r="402" spans="12:20" x14ac:dyDescent="0.35">
      <c r="L402" t="str">
        <f ca="1">IFERROR(_xludf.XLOOKUP(C402,CodePath_Defaults!A:A,CodePath_Defaults!D:D,""),IFERROR(_xludf.XLOOKUP(B402,CodePath_Defaults!B:B,CodePath_Defaults!D:D,""),""))</f>
        <v/>
      </c>
      <c r="T402" t="s">
        <v>801</v>
      </c>
    </row>
    <row r="403" spans="12:20" x14ac:dyDescent="0.35">
      <c r="L403" t="str">
        <f ca="1">IFERROR(_xludf.XLOOKUP(C403,CodePath_Defaults!A:A,CodePath_Defaults!D:D,""),IFERROR(_xludf.XLOOKUP(B403,CodePath_Defaults!B:B,CodePath_Defaults!D:D,""),""))</f>
        <v/>
      </c>
      <c r="T403" t="s">
        <v>801</v>
      </c>
    </row>
    <row r="404" spans="12:20" x14ac:dyDescent="0.35">
      <c r="L404" t="str">
        <f ca="1">IFERROR(_xludf.XLOOKUP(C404,CodePath_Defaults!A:A,CodePath_Defaults!D:D,""),IFERROR(_xludf.XLOOKUP(B404,CodePath_Defaults!B:B,CodePath_Defaults!D:D,""),""))</f>
        <v/>
      </c>
      <c r="T404" t="s">
        <v>801</v>
      </c>
    </row>
    <row r="405" spans="12:20" x14ac:dyDescent="0.35">
      <c r="L405" t="str">
        <f ca="1">IFERROR(_xludf.XLOOKUP(C405,CodePath_Defaults!A:A,CodePath_Defaults!D:D,""),IFERROR(_xludf.XLOOKUP(B405,CodePath_Defaults!B:B,CodePath_Defaults!D:D,""),""))</f>
        <v/>
      </c>
      <c r="T405" t="s">
        <v>801</v>
      </c>
    </row>
    <row r="406" spans="12:20" x14ac:dyDescent="0.35">
      <c r="L406" t="str">
        <f ca="1">IFERROR(_xludf.XLOOKUP(C406,CodePath_Defaults!A:A,CodePath_Defaults!D:D,""),IFERROR(_xludf.XLOOKUP(B406,CodePath_Defaults!B:B,CodePath_Defaults!D:D,""),""))</f>
        <v/>
      </c>
      <c r="T406" t="s">
        <v>801</v>
      </c>
    </row>
    <row r="407" spans="12:20" x14ac:dyDescent="0.35">
      <c r="L407" t="str">
        <f ca="1">IFERROR(_xludf.XLOOKUP(C407,CodePath_Defaults!A:A,CodePath_Defaults!D:D,""),IFERROR(_xludf.XLOOKUP(B407,CodePath_Defaults!B:B,CodePath_Defaults!D:D,""),""))</f>
        <v/>
      </c>
      <c r="T407" t="s">
        <v>801</v>
      </c>
    </row>
    <row r="408" spans="12:20" x14ac:dyDescent="0.35">
      <c r="L408" t="str">
        <f ca="1">IFERROR(_xludf.XLOOKUP(C408,CodePath_Defaults!A:A,CodePath_Defaults!D:D,""),IFERROR(_xludf.XLOOKUP(B408,CodePath_Defaults!B:B,CodePath_Defaults!D:D,""),""))</f>
        <v/>
      </c>
      <c r="T408" t="s">
        <v>801</v>
      </c>
    </row>
    <row r="409" spans="12:20" x14ac:dyDescent="0.35">
      <c r="L409" t="str">
        <f ca="1">IFERROR(_xludf.XLOOKUP(C409,CodePath_Defaults!A:A,CodePath_Defaults!D:D,""),IFERROR(_xludf.XLOOKUP(B409,CodePath_Defaults!B:B,CodePath_Defaults!D:D,""),""))</f>
        <v/>
      </c>
      <c r="T409" t="s">
        <v>801</v>
      </c>
    </row>
    <row r="410" spans="12:20" x14ac:dyDescent="0.35">
      <c r="L410" t="str">
        <f ca="1">IFERROR(_xludf.XLOOKUP(C410,CodePath_Defaults!A:A,CodePath_Defaults!D:D,""),IFERROR(_xludf.XLOOKUP(B410,CodePath_Defaults!B:B,CodePath_Defaults!D:D,""),""))</f>
        <v/>
      </c>
      <c r="T410" t="s">
        <v>801</v>
      </c>
    </row>
    <row r="411" spans="12:20" x14ac:dyDescent="0.35">
      <c r="L411" t="str">
        <f ca="1">IFERROR(_xludf.XLOOKUP(C411,CodePath_Defaults!A:A,CodePath_Defaults!D:D,""),IFERROR(_xludf.XLOOKUP(B411,CodePath_Defaults!B:B,CodePath_Defaults!D:D,""),""))</f>
        <v/>
      </c>
      <c r="T411" t="s">
        <v>801</v>
      </c>
    </row>
    <row r="412" spans="12:20" x14ac:dyDescent="0.35">
      <c r="L412" t="str">
        <f ca="1">IFERROR(_xludf.XLOOKUP(C412,CodePath_Defaults!A:A,CodePath_Defaults!D:D,""),IFERROR(_xludf.XLOOKUP(B412,CodePath_Defaults!B:B,CodePath_Defaults!D:D,""),""))</f>
        <v/>
      </c>
      <c r="T412" t="s">
        <v>801</v>
      </c>
    </row>
    <row r="413" spans="12:20" x14ac:dyDescent="0.35">
      <c r="L413" t="str">
        <f ca="1">IFERROR(_xludf.XLOOKUP(C413,CodePath_Defaults!A:A,CodePath_Defaults!D:D,""),IFERROR(_xludf.XLOOKUP(B413,CodePath_Defaults!B:B,CodePath_Defaults!D:D,""),""))</f>
        <v/>
      </c>
      <c r="T413" t="s">
        <v>801</v>
      </c>
    </row>
    <row r="414" spans="12:20" x14ac:dyDescent="0.35">
      <c r="L414" t="str">
        <f ca="1">IFERROR(_xludf.XLOOKUP(C414,CodePath_Defaults!A:A,CodePath_Defaults!D:D,""),IFERROR(_xludf.XLOOKUP(B414,CodePath_Defaults!B:B,CodePath_Defaults!D:D,""),""))</f>
        <v/>
      </c>
      <c r="T414" t="s">
        <v>801</v>
      </c>
    </row>
    <row r="415" spans="12:20" x14ac:dyDescent="0.35">
      <c r="L415" t="str">
        <f ca="1">IFERROR(_xludf.XLOOKUP(C415,CodePath_Defaults!A:A,CodePath_Defaults!D:D,""),IFERROR(_xludf.XLOOKUP(B415,CodePath_Defaults!B:B,CodePath_Defaults!D:D,""),""))</f>
        <v/>
      </c>
      <c r="T415" t="s">
        <v>801</v>
      </c>
    </row>
    <row r="416" spans="12:20" x14ac:dyDescent="0.35">
      <c r="L416" t="str">
        <f ca="1">IFERROR(_xludf.XLOOKUP(C416,CodePath_Defaults!A:A,CodePath_Defaults!D:D,""),IFERROR(_xludf.XLOOKUP(B416,CodePath_Defaults!B:B,CodePath_Defaults!D:D,""),""))</f>
        <v/>
      </c>
      <c r="T416" t="s">
        <v>801</v>
      </c>
    </row>
    <row r="417" spans="12:20" x14ac:dyDescent="0.35">
      <c r="L417" t="str">
        <f ca="1">IFERROR(_xludf.XLOOKUP(C417,CodePath_Defaults!A:A,CodePath_Defaults!D:D,""),IFERROR(_xludf.XLOOKUP(B417,CodePath_Defaults!B:B,CodePath_Defaults!D:D,""),""))</f>
        <v/>
      </c>
      <c r="T417" t="s">
        <v>801</v>
      </c>
    </row>
    <row r="418" spans="12:20" x14ac:dyDescent="0.35">
      <c r="L418" t="str">
        <f ca="1">IFERROR(_xludf.XLOOKUP(C418,CodePath_Defaults!A:A,CodePath_Defaults!D:D,""),IFERROR(_xludf.XLOOKUP(B418,CodePath_Defaults!B:B,CodePath_Defaults!D:D,""),""))</f>
        <v/>
      </c>
      <c r="T418" t="s">
        <v>801</v>
      </c>
    </row>
    <row r="419" spans="12:20" x14ac:dyDescent="0.35">
      <c r="L419" t="str">
        <f ca="1">IFERROR(_xludf.XLOOKUP(C419,CodePath_Defaults!A:A,CodePath_Defaults!D:D,""),IFERROR(_xludf.XLOOKUP(B419,CodePath_Defaults!B:B,CodePath_Defaults!D:D,""),""))</f>
        <v/>
      </c>
      <c r="T419" t="s">
        <v>801</v>
      </c>
    </row>
    <row r="420" spans="12:20" x14ac:dyDescent="0.35">
      <c r="L420" t="str">
        <f ca="1">IFERROR(_xludf.XLOOKUP(C420,CodePath_Defaults!A:A,CodePath_Defaults!D:D,""),IFERROR(_xludf.XLOOKUP(B420,CodePath_Defaults!B:B,CodePath_Defaults!D:D,""),""))</f>
        <v/>
      </c>
      <c r="T420" t="s">
        <v>801</v>
      </c>
    </row>
    <row r="421" spans="12:20" x14ac:dyDescent="0.35">
      <c r="L421" t="str">
        <f ca="1">IFERROR(_xludf.XLOOKUP(C421,CodePath_Defaults!A:A,CodePath_Defaults!D:D,""),IFERROR(_xludf.XLOOKUP(B421,CodePath_Defaults!B:B,CodePath_Defaults!D:D,""),""))</f>
        <v/>
      </c>
      <c r="T421" t="s">
        <v>801</v>
      </c>
    </row>
    <row r="422" spans="12:20" x14ac:dyDescent="0.35">
      <c r="L422" t="str">
        <f ca="1">IFERROR(_xludf.XLOOKUP(C422,CodePath_Defaults!A:A,CodePath_Defaults!D:D,""),IFERROR(_xludf.XLOOKUP(B422,CodePath_Defaults!B:B,CodePath_Defaults!D:D,""),""))</f>
        <v/>
      </c>
      <c r="T422" t="s">
        <v>801</v>
      </c>
    </row>
    <row r="423" spans="12:20" x14ac:dyDescent="0.35">
      <c r="L423" t="str">
        <f ca="1">IFERROR(_xludf.XLOOKUP(C423,CodePath_Defaults!A:A,CodePath_Defaults!D:D,""),IFERROR(_xludf.XLOOKUP(B423,CodePath_Defaults!B:B,CodePath_Defaults!D:D,""),""))</f>
        <v/>
      </c>
      <c r="T423" t="s">
        <v>801</v>
      </c>
    </row>
    <row r="424" spans="12:20" x14ac:dyDescent="0.35">
      <c r="L424" t="str">
        <f ca="1">IFERROR(_xludf.XLOOKUP(C424,CodePath_Defaults!A:A,CodePath_Defaults!D:D,""),IFERROR(_xludf.XLOOKUP(B424,CodePath_Defaults!B:B,CodePath_Defaults!D:D,""),""))</f>
        <v/>
      </c>
      <c r="T424" t="s">
        <v>801</v>
      </c>
    </row>
    <row r="425" spans="12:20" x14ac:dyDescent="0.35">
      <c r="L425" t="str">
        <f ca="1">IFERROR(_xludf.XLOOKUP(C425,CodePath_Defaults!A:A,CodePath_Defaults!D:D,""),IFERROR(_xludf.XLOOKUP(B425,CodePath_Defaults!B:B,CodePath_Defaults!D:D,""),""))</f>
        <v/>
      </c>
      <c r="T425" t="s">
        <v>801</v>
      </c>
    </row>
    <row r="426" spans="12:20" x14ac:dyDescent="0.35">
      <c r="L426" t="str">
        <f ca="1">IFERROR(_xludf.XLOOKUP(C426,CodePath_Defaults!A:A,CodePath_Defaults!D:D,""),IFERROR(_xludf.XLOOKUP(B426,CodePath_Defaults!B:B,CodePath_Defaults!D:D,""),""))</f>
        <v/>
      </c>
      <c r="T426" t="s">
        <v>801</v>
      </c>
    </row>
    <row r="427" spans="12:20" x14ac:dyDescent="0.35">
      <c r="L427" t="str">
        <f ca="1">IFERROR(_xludf.XLOOKUP(C427,CodePath_Defaults!A:A,CodePath_Defaults!D:D,""),IFERROR(_xludf.XLOOKUP(B427,CodePath_Defaults!B:B,CodePath_Defaults!D:D,""),""))</f>
        <v/>
      </c>
      <c r="T427" t="s">
        <v>801</v>
      </c>
    </row>
    <row r="428" spans="12:20" x14ac:dyDescent="0.35">
      <c r="L428" t="str">
        <f ca="1">IFERROR(_xludf.XLOOKUP(C428,CodePath_Defaults!A:A,CodePath_Defaults!D:D,""),IFERROR(_xludf.XLOOKUP(B428,CodePath_Defaults!B:B,CodePath_Defaults!D:D,""),""))</f>
        <v/>
      </c>
      <c r="T428" t="s">
        <v>801</v>
      </c>
    </row>
    <row r="429" spans="12:20" x14ac:dyDescent="0.35">
      <c r="L429" t="str">
        <f ca="1">IFERROR(_xludf.XLOOKUP(C429,CodePath_Defaults!A:A,CodePath_Defaults!D:D,""),IFERROR(_xludf.XLOOKUP(B429,CodePath_Defaults!B:B,CodePath_Defaults!D:D,""),""))</f>
        <v/>
      </c>
      <c r="T429" t="s">
        <v>801</v>
      </c>
    </row>
    <row r="430" spans="12:20" x14ac:dyDescent="0.35">
      <c r="L430" t="str">
        <f ca="1">IFERROR(_xludf.XLOOKUP(C430,CodePath_Defaults!A:A,CodePath_Defaults!D:D,""),IFERROR(_xludf.XLOOKUP(B430,CodePath_Defaults!B:B,CodePath_Defaults!D:D,""),""))</f>
        <v/>
      </c>
      <c r="T430" t="s">
        <v>801</v>
      </c>
    </row>
    <row r="431" spans="12:20" x14ac:dyDescent="0.35">
      <c r="L431" t="str">
        <f ca="1">IFERROR(_xludf.XLOOKUP(C431,CodePath_Defaults!A:A,CodePath_Defaults!D:D,""),IFERROR(_xludf.XLOOKUP(B431,CodePath_Defaults!B:B,CodePath_Defaults!D:D,""),""))</f>
        <v/>
      </c>
      <c r="T431" t="s">
        <v>801</v>
      </c>
    </row>
    <row r="432" spans="12:20" x14ac:dyDescent="0.35">
      <c r="L432" t="str">
        <f ca="1">IFERROR(_xludf.XLOOKUP(C432,CodePath_Defaults!A:A,CodePath_Defaults!D:D,""),IFERROR(_xludf.XLOOKUP(B432,CodePath_Defaults!B:B,CodePath_Defaults!D:D,""),""))</f>
        <v/>
      </c>
      <c r="T432" t="s">
        <v>801</v>
      </c>
    </row>
    <row r="433" spans="12:20" x14ac:dyDescent="0.35">
      <c r="L433" t="str">
        <f ca="1">IFERROR(_xludf.XLOOKUP(C433,CodePath_Defaults!A:A,CodePath_Defaults!D:D,""),IFERROR(_xludf.XLOOKUP(B433,CodePath_Defaults!B:B,CodePath_Defaults!D:D,""),""))</f>
        <v/>
      </c>
      <c r="T433" t="s">
        <v>801</v>
      </c>
    </row>
    <row r="434" spans="12:20" x14ac:dyDescent="0.35">
      <c r="L434" t="str">
        <f ca="1">IFERROR(_xludf.XLOOKUP(C434,CodePath_Defaults!A:A,CodePath_Defaults!D:D,""),IFERROR(_xludf.XLOOKUP(B434,CodePath_Defaults!B:B,CodePath_Defaults!D:D,""),""))</f>
        <v/>
      </c>
      <c r="T434" t="s">
        <v>801</v>
      </c>
    </row>
    <row r="435" spans="12:20" x14ac:dyDescent="0.35">
      <c r="L435" t="str">
        <f ca="1">IFERROR(_xludf.XLOOKUP(C435,CodePath_Defaults!A:A,CodePath_Defaults!D:D,""),IFERROR(_xludf.XLOOKUP(B435,CodePath_Defaults!B:B,CodePath_Defaults!D:D,""),""))</f>
        <v/>
      </c>
      <c r="T435" t="s">
        <v>801</v>
      </c>
    </row>
    <row r="436" spans="12:20" x14ac:dyDescent="0.35">
      <c r="L436" t="str">
        <f ca="1">IFERROR(_xludf.XLOOKUP(C436,CodePath_Defaults!A:A,CodePath_Defaults!D:D,""),IFERROR(_xludf.XLOOKUP(B436,CodePath_Defaults!B:B,CodePath_Defaults!D:D,""),""))</f>
        <v/>
      </c>
      <c r="T436" t="s">
        <v>801</v>
      </c>
    </row>
    <row r="437" spans="12:20" x14ac:dyDescent="0.35">
      <c r="L437" t="str">
        <f ca="1">IFERROR(_xludf.XLOOKUP(C437,CodePath_Defaults!A:A,CodePath_Defaults!D:D,""),IFERROR(_xludf.XLOOKUP(B437,CodePath_Defaults!B:B,CodePath_Defaults!D:D,""),""))</f>
        <v/>
      </c>
      <c r="T437" t="s">
        <v>801</v>
      </c>
    </row>
    <row r="438" spans="12:20" x14ac:dyDescent="0.35">
      <c r="L438" t="str">
        <f ca="1">IFERROR(_xludf.XLOOKUP(C438,CodePath_Defaults!A:A,CodePath_Defaults!D:D,""),IFERROR(_xludf.XLOOKUP(B438,CodePath_Defaults!B:B,CodePath_Defaults!D:D,""),""))</f>
        <v/>
      </c>
      <c r="T438" t="s">
        <v>801</v>
      </c>
    </row>
    <row r="439" spans="12:20" x14ac:dyDescent="0.35">
      <c r="L439" t="str">
        <f ca="1">IFERROR(_xludf.XLOOKUP(C439,CodePath_Defaults!A:A,CodePath_Defaults!D:D,""),IFERROR(_xludf.XLOOKUP(B439,CodePath_Defaults!B:B,CodePath_Defaults!D:D,""),""))</f>
        <v/>
      </c>
      <c r="T439" t="s">
        <v>801</v>
      </c>
    </row>
    <row r="440" spans="12:20" x14ac:dyDescent="0.35">
      <c r="L440" t="str">
        <f ca="1">IFERROR(_xludf.XLOOKUP(C440,CodePath_Defaults!A:A,CodePath_Defaults!D:D,""),IFERROR(_xludf.XLOOKUP(B440,CodePath_Defaults!B:B,CodePath_Defaults!D:D,""),""))</f>
        <v/>
      </c>
      <c r="T440" t="s">
        <v>801</v>
      </c>
    </row>
    <row r="441" spans="12:20" x14ac:dyDescent="0.35">
      <c r="L441" t="str">
        <f ca="1">IFERROR(_xludf.XLOOKUP(C441,CodePath_Defaults!A:A,CodePath_Defaults!D:D,""),IFERROR(_xludf.XLOOKUP(B441,CodePath_Defaults!B:B,CodePath_Defaults!D:D,""),""))</f>
        <v/>
      </c>
      <c r="T441" t="s">
        <v>801</v>
      </c>
    </row>
    <row r="442" spans="12:20" x14ac:dyDescent="0.35">
      <c r="L442" t="str">
        <f ca="1">IFERROR(_xludf.XLOOKUP(C442,CodePath_Defaults!A:A,CodePath_Defaults!D:D,""),IFERROR(_xludf.XLOOKUP(B442,CodePath_Defaults!B:B,CodePath_Defaults!D:D,""),""))</f>
        <v/>
      </c>
      <c r="T442" t="s">
        <v>801</v>
      </c>
    </row>
    <row r="443" spans="12:20" x14ac:dyDescent="0.35">
      <c r="L443" t="str">
        <f ca="1">IFERROR(_xludf.XLOOKUP(C443,CodePath_Defaults!A:A,CodePath_Defaults!D:D,""),IFERROR(_xludf.XLOOKUP(B443,CodePath_Defaults!B:B,CodePath_Defaults!D:D,""),""))</f>
        <v/>
      </c>
      <c r="T443" t="s">
        <v>801</v>
      </c>
    </row>
    <row r="444" spans="12:20" x14ac:dyDescent="0.35">
      <c r="L444" t="str">
        <f ca="1">IFERROR(_xludf.XLOOKUP(C444,CodePath_Defaults!A:A,CodePath_Defaults!D:D,""),IFERROR(_xludf.XLOOKUP(B444,CodePath_Defaults!B:B,CodePath_Defaults!D:D,""),""))</f>
        <v/>
      </c>
      <c r="T444" t="s">
        <v>801</v>
      </c>
    </row>
    <row r="445" spans="12:20" x14ac:dyDescent="0.35">
      <c r="L445" t="str">
        <f ca="1">IFERROR(_xludf.XLOOKUP(C445,CodePath_Defaults!A:A,CodePath_Defaults!D:D,""),IFERROR(_xludf.XLOOKUP(B445,CodePath_Defaults!B:B,CodePath_Defaults!D:D,""),""))</f>
        <v/>
      </c>
      <c r="T445" t="s">
        <v>801</v>
      </c>
    </row>
    <row r="446" spans="12:20" x14ac:dyDescent="0.35">
      <c r="L446" t="str">
        <f ca="1">IFERROR(_xludf.XLOOKUP(C446,CodePath_Defaults!A:A,CodePath_Defaults!D:D,""),IFERROR(_xludf.XLOOKUP(B446,CodePath_Defaults!B:B,CodePath_Defaults!D:D,""),""))</f>
        <v/>
      </c>
      <c r="T446" t="s">
        <v>801</v>
      </c>
    </row>
    <row r="447" spans="12:20" x14ac:dyDescent="0.35">
      <c r="L447" t="str">
        <f ca="1">IFERROR(_xludf.XLOOKUP(C447,CodePath_Defaults!A:A,CodePath_Defaults!D:D,""),IFERROR(_xludf.XLOOKUP(B447,CodePath_Defaults!B:B,CodePath_Defaults!D:D,""),""))</f>
        <v/>
      </c>
      <c r="T447" t="s">
        <v>801</v>
      </c>
    </row>
    <row r="448" spans="12:20" x14ac:dyDescent="0.35">
      <c r="L448" t="str">
        <f ca="1">IFERROR(_xludf.XLOOKUP(C448,CodePath_Defaults!A:A,CodePath_Defaults!D:D,""),IFERROR(_xludf.XLOOKUP(B448,CodePath_Defaults!B:B,CodePath_Defaults!D:D,""),""))</f>
        <v/>
      </c>
      <c r="T448" t="s">
        <v>801</v>
      </c>
    </row>
    <row r="449" spans="12:20" x14ac:dyDescent="0.35">
      <c r="L449" t="str">
        <f ca="1">IFERROR(_xludf.XLOOKUP(C449,CodePath_Defaults!A:A,CodePath_Defaults!D:D,""),IFERROR(_xludf.XLOOKUP(B449,CodePath_Defaults!B:B,CodePath_Defaults!D:D,""),""))</f>
        <v/>
      </c>
      <c r="T449" t="s">
        <v>801</v>
      </c>
    </row>
    <row r="450" spans="12:20" x14ac:dyDescent="0.35">
      <c r="L450" t="str">
        <f ca="1">IFERROR(_xludf.XLOOKUP(C450,CodePath_Defaults!A:A,CodePath_Defaults!D:D,""),IFERROR(_xludf.XLOOKUP(B450,CodePath_Defaults!B:B,CodePath_Defaults!D:D,""),""))</f>
        <v/>
      </c>
      <c r="T450" t="s">
        <v>801</v>
      </c>
    </row>
    <row r="451" spans="12:20" x14ac:dyDescent="0.35">
      <c r="L451" t="str">
        <f ca="1">IFERROR(_xludf.XLOOKUP(C451,CodePath_Defaults!A:A,CodePath_Defaults!D:D,""),IFERROR(_xludf.XLOOKUP(B451,CodePath_Defaults!B:B,CodePath_Defaults!D:D,""),""))</f>
        <v/>
      </c>
      <c r="T451" t="s">
        <v>801</v>
      </c>
    </row>
    <row r="452" spans="12:20" x14ac:dyDescent="0.35">
      <c r="L452" t="str">
        <f ca="1">IFERROR(_xludf.XLOOKUP(C452,CodePath_Defaults!A:A,CodePath_Defaults!D:D,""),IFERROR(_xludf.XLOOKUP(B452,CodePath_Defaults!B:B,CodePath_Defaults!D:D,""),""))</f>
        <v/>
      </c>
      <c r="T452" t="s">
        <v>801</v>
      </c>
    </row>
    <row r="453" spans="12:20" x14ac:dyDescent="0.35">
      <c r="L453" t="str">
        <f ca="1">IFERROR(_xludf.XLOOKUP(C453,CodePath_Defaults!A:A,CodePath_Defaults!D:D,""),IFERROR(_xludf.XLOOKUP(B453,CodePath_Defaults!B:B,CodePath_Defaults!D:D,""),""))</f>
        <v/>
      </c>
      <c r="T453" t="s">
        <v>801</v>
      </c>
    </row>
    <row r="454" spans="12:20" x14ac:dyDescent="0.35">
      <c r="L454" t="str">
        <f ca="1">IFERROR(_xludf.XLOOKUP(C454,CodePath_Defaults!A:A,CodePath_Defaults!D:D,""),IFERROR(_xludf.XLOOKUP(B454,CodePath_Defaults!B:B,CodePath_Defaults!D:D,""),""))</f>
        <v/>
      </c>
      <c r="T454" t="s">
        <v>801</v>
      </c>
    </row>
    <row r="455" spans="12:20" x14ac:dyDescent="0.35">
      <c r="L455" t="str">
        <f ca="1">IFERROR(_xludf.XLOOKUP(C455,CodePath_Defaults!A:A,CodePath_Defaults!D:D,""),IFERROR(_xludf.XLOOKUP(B455,CodePath_Defaults!B:B,CodePath_Defaults!D:D,""),""))</f>
        <v/>
      </c>
      <c r="T455" t="s">
        <v>801</v>
      </c>
    </row>
    <row r="456" spans="12:20" x14ac:dyDescent="0.35">
      <c r="L456" t="str">
        <f ca="1">IFERROR(_xludf.XLOOKUP(C456,CodePath_Defaults!A:A,CodePath_Defaults!D:D,""),IFERROR(_xludf.XLOOKUP(B456,CodePath_Defaults!B:B,CodePath_Defaults!D:D,""),""))</f>
        <v/>
      </c>
      <c r="T456" t="s">
        <v>801</v>
      </c>
    </row>
    <row r="457" spans="12:20" x14ac:dyDescent="0.35">
      <c r="L457" t="str">
        <f ca="1">IFERROR(_xludf.XLOOKUP(C457,CodePath_Defaults!A:A,CodePath_Defaults!D:D,""),IFERROR(_xludf.XLOOKUP(B457,CodePath_Defaults!B:B,CodePath_Defaults!D:D,""),""))</f>
        <v/>
      </c>
      <c r="T457" t="s">
        <v>801</v>
      </c>
    </row>
    <row r="458" spans="12:20" x14ac:dyDescent="0.35">
      <c r="L458" t="str">
        <f ca="1">IFERROR(_xludf.XLOOKUP(C458,CodePath_Defaults!A:A,CodePath_Defaults!D:D,""),IFERROR(_xludf.XLOOKUP(B458,CodePath_Defaults!B:B,CodePath_Defaults!D:D,""),""))</f>
        <v/>
      </c>
      <c r="T458" t="s">
        <v>801</v>
      </c>
    </row>
    <row r="459" spans="12:20" x14ac:dyDescent="0.35">
      <c r="L459" t="str">
        <f ca="1">IFERROR(_xludf.XLOOKUP(C459,CodePath_Defaults!A:A,CodePath_Defaults!D:D,""),IFERROR(_xludf.XLOOKUP(B459,CodePath_Defaults!B:B,CodePath_Defaults!D:D,""),""))</f>
        <v/>
      </c>
      <c r="T459" t="s">
        <v>801</v>
      </c>
    </row>
    <row r="460" spans="12:20" x14ac:dyDescent="0.35">
      <c r="L460" t="str">
        <f ca="1">IFERROR(_xludf.XLOOKUP(C460,CodePath_Defaults!A:A,CodePath_Defaults!D:D,""),IFERROR(_xludf.XLOOKUP(B460,CodePath_Defaults!B:B,CodePath_Defaults!D:D,""),""))</f>
        <v/>
      </c>
      <c r="T460" t="s">
        <v>801</v>
      </c>
    </row>
    <row r="461" spans="12:20" x14ac:dyDescent="0.35">
      <c r="L461" t="str">
        <f ca="1">IFERROR(_xludf.XLOOKUP(C461,CodePath_Defaults!A:A,CodePath_Defaults!D:D,""),IFERROR(_xludf.XLOOKUP(B461,CodePath_Defaults!B:B,CodePath_Defaults!D:D,""),""))</f>
        <v/>
      </c>
      <c r="T461" t="s">
        <v>801</v>
      </c>
    </row>
    <row r="462" spans="12:20" x14ac:dyDescent="0.35">
      <c r="L462" t="str">
        <f ca="1">IFERROR(_xludf.XLOOKUP(C462,CodePath_Defaults!A:A,CodePath_Defaults!D:D,""),IFERROR(_xludf.XLOOKUP(B462,CodePath_Defaults!B:B,CodePath_Defaults!D:D,""),""))</f>
        <v/>
      </c>
      <c r="T462" t="s">
        <v>801</v>
      </c>
    </row>
    <row r="463" spans="12:20" x14ac:dyDescent="0.35">
      <c r="L463" t="str">
        <f ca="1">IFERROR(_xludf.XLOOKUP(C463,CodePath_Defaults!A:A,CodePath_Defaults!D:D,""),IFERROR(_xludf.XLOOKUP(B463,CodePath_Defaults!B:B,CodePath_Defaults!D:D,""),""))</f>
        <v/>
      </c>
      <c r="T463" t="s">
        <v>801</v>
      </c>
    </row>
    <row r="464" spans="12:20" x14ac:dyDescent="0.35">
      <c r="L464" t="str">
        <f ca="1">IFERROR(_xludf.XLOOKUP(C464,CodePath_Defaults!A:A,CodePath_Defaults!D:D,""),IFERROR(_xludf.XLOOKUP(B464,CodePath_Defaults!B:B,CodePath_Defaults!D:D,""),""))</f>
        <v/>
      </c>
      <c r="T464" t="s">
        <v>801</v>
      </c>
    </row>
    <row r="465" spans="12:20" x14ac:dyDescent="0.35">
      <c r="L465" t="str">
        <f ca="1">IFERROR(_xludf.XLOOKUP(C465,CodePath_Defaults!A:A,CodePath_Defaults!D:D,""),IFERROR(_xludf.XLOOKUP(B465,CodePath_Defaults!B:B,CodePath_Defaults!D:D,""),""))</f>
        <v/>
      </c>
      <c r="T465" t="s">
        <v>801</v>
      </c>
    </row>
    <row r="466" spans="12:20" x14ac:dyDescent="0.35">
      <c r="L466" t="str">
        <f ca="1">IFERROR(_xludf.XLOOKUP(C466,CodePath_Defaults!A:A,CodePath_Defaults!D:D,""),IFERROR(_xludf.XLOOKUP(B466,CodePath_Defaults!B:B,CodePath_Defaults!D:D,""),""))</f>
        <v/>
      </c>
      <c r="T466" t="s">
        <v>801</v>
      </c>
    </row>
    <row r="467" spans="12:20" x14ac:dyDescent="0.35">
      <c r="L467" t="str">
        <f ca="1">IFERROR(_xludf.XLOOKUP(C467,CodePath_Defaults!A:A,CodePath_Defaults!D:D,""),IFERROR(_xludf.XLOOKUP(B467,CodePath_Defaults!B:B,CodePath_Defaults!D:D,""),""))</f>
        <v/>
      </c>
      <c r="T467" t="s">
        <v>801</v>
      </c>
    </row>
    <row r="468" spans="12:20" x14ac:dyDescent="0.35">
      <c r="L468" t="str">
        <f ca="1">IFERROR(_xludf.XLOOKUP(C468,CodePath_Defaults!A:A,CodePath_Defaults!D:D,""),IFERROR(_xludf.XLOOKUP(B468,CodePath_Defaults!B:B,CodePath_Defaults!D:D,""),""))</f>
        <v/>
      </c>
      <c r="T468" t="s">
        <v>801</v>
      </c>
    </row>
    <row r="469" spans="12:20" x14ac:dyDescent="0.35">
      <c r="L469" t="str">
        <f ca="1">IFERROR(_xludf.XLOOKUP(C469,CodePath_Defaults!A:A,CodePath_Defaults!D:D,""),IFERROR(_xludf.XLOOKUP(B469,CodePath_Defaults!B:B,CodePath_Defaults!D:D,""),""))</f>
        <v/>
      </c>
      <c r="T469" t="s">
        <v>801</v>
      </c>
    </row>
    <row r="470" spans="12:20" x14ac:dyDescent="0.35">
      <c r="L470" t="str">
        <f ca="1">IFERROR(_xludf.XLOOKUP(C470,CodePath_Defaults!A:A,CodePath_Defaults!D:D,""),IFERROR(_xludf.XLOOKUP(B470,CodePath_Defaults!B:B,CodePath_Defaults!D:D,""),""))</f>
        <v/>
      </c>
      <c r="T470" t="s">
        <v>801</v>
      </c>
    </row>
    <row r="471" spans="12:20" x14ac:dyDescent="0.35">
      <c r="L471" t="str">
        <f ca="1">IFERROR(_xludf.XLOOKUP(C471,CodePath_Defaults!A:A,CodePath_Defaults!D:D,""),IFERROR(_xludf.XLOOKUP(B471,CodePath_Defaults!B:B,CodePath_Defaults!D:D,""),""))</f>
        <v/>
      </c>
      <c r="T471" t="s">
        <v>801</v>
      </c>
    </row>
    <row r="472" spans="12:20" x14ac:dyDescent="0.35">
      <c r="L472" t="str">
        <f ca="1">IFERROR(_xludf.XLOOKUP(C472,CodePath_Defaults!A:A,CodePath_Defaults!D:D,""),IFERROR(_xludf.XLOOKUP(B472,CodePath_Defaults!B:B,CodePath_Defaults!D:D,""),""))</f>
        <v/>
      </c>
      <c r="T472" t="s">
        <v>801</v>
      </c>
    </row>
    <row r="473" spans="12:20" x14ac:dyDescent="0.35">
      <c r="L473" t="str">
        <f ca="1">IFERROR(_xludf.XLOOKUP(C473,CodePath_Defaults!A:A,CodePath_Defaults!D:D,""),IFERROR(_xludf.XLOOKUP(B473,CodePath_Defaults!B:B,CodePath_Defaults!D:D,""),""))</f>
        <v/>
      </c>
      <c r="T473" t="s">
        <v>801</v>
      </c>
    </row>
    <row r="474" spans="12:20" x14ac:dyDescent="0.35">
      <c r="L474" t="str">
        <f ca="1">IFERROR(_xludf.XLOOKUP(C474,CodePath_Defaults!A:A,CodePath_Defaults!D:D,""),IFERROR(_xludf.XLOOKUP(B474,CodePath_Defaults!B:B,CodePath_Defaults!D:D,""),""))</f>
        <v/>
      </c>
      <c r="T474" t="s">
        <v>801</v>
      </c>
    </row>
    <row r="475" spans="12:20" x14ac:dyDescent="0.35">
      <c r="L475" t="str">
        <f ca="1">IFERROR(_xludf.XLOOKUP(C475,CodePath_Defaults!A:A,CodePath_Defaults!D:D,""),IFERROR(_xludf.XLOOKUP(B475,CodePath_Defaults!B:B,CodePath_Defaults!D:D,""),""))</f>
        <v/>
      </c>
      <c r="T475" t="s">
        <v>801</v>
      </c>
    </row>
    <row r="476" spans="12:20" x14ac:dyDescent="0.35">
      <c r="L476" t="str">
        <f ca="1">IFERROR(_xludf.XLOOKUP(C476,CodePath_Defaults!A:A,CodePath_Defaults!D:D,""),IFERROR(_xludf.XLOOKUP(B476,CodePath_Defaults!B:B,CodePath_Defaults!D:D,""),""))</f>
        <v/>
      </c>
      <c r="T476" t="s">
        <v>801</v>
      </c>
    </row>
    <row r="477" spans="12:20" x14ac:dyDescent="0.35">
      <c r="L477" t="str">
        <f ca="1">IFERROR(_xludf.XLOOKUP(C477,CodePath_Defaults!A:A,CodePath_Defaults!D:D,""),IFERROR(_xludf.XLOOKUP(B477,CodePath_Defaults!B:B,CodePath_Defaults!D:D,""),""))</f>
        <v/>
      </c>
      <c r="T477" t="s">
        <v>801</v>
      </c>
    </row>
    <row r="478" spans="12:20" x14ac:dyDescent="0.35">
      <c r="L478" t="str">
        <f ca="1">IFERROR(_xludf.XLOOKUP(C478,CodePath_Defaults!A:A,CodePath_Defaults!D:D,""),IFERROR(_xludf.XLOOKUP(B478,CodePath_Defaults!B:B,CodePath_Defaults!D:D,""),""))</f>
        <v/>
      </c>
      <c r="T478" t="s">
        <v>801</v>
      </c>
    </row>
    <row r="479" spans="12:20" x14ac:dyDescent="0.35">
      <c r="L479" t="str">
        <f ca="1">IFERROR(_xludf.XLOOKUP(C479,CodePath_Defaults!A:A,CodePath_Defaults!D:D,""),IFERROR(_xludf.XLOOKUP(B479,CodePath_Defaults!B:B,CodePath_Defaults!D:D,""),""))</f>
        <v/>
      </c>
      <c r="T479" t="s">
        <v>801</v>
      </c>
    </row>
    <row r="480" spans="12:20" x14ac:dyDescent="0.35">
      <c r="L480" t="str">
        <f ca="1">IFERROR(_xludf.XLOOKUP(C480,CodePath_Defaults!A:A,CodePath_Defaults!D:D,""),IFERROR(_xludf.XLOOKUP(B480,CodePath_Defaults!B:B,CodePath_Defaults!D:D,""),""))</f>
        <v/>
      </c>
      <c r="T480" t="s">
        <v>801</v>
      </c>
    </row>
    <row r="481" spans="12:20" x14ac:dyDescent="0.35">
      <c r="L481" t="str">
        <f ca="1">IFERROR(_xludf.XLOOKUP(C481,CodePath_Defaults!A:A,CodePath_Defaults!D:D,""),IFERROR(_xludf.XLOOKUP(B481,CodePath_Defaults!B:B,CodePath_Defaults!D:D,""),""))</f>
        <v/>
      </c>
      <c r="T481" t="s">
        <v>801</v>
      </c>
    </row>
    <row r="482" spans="12:20" x14ac:dyDescent="0.35">
      <c r="L482" t="str">
        <f ca="1">IFERROR(_xludf.XLOOKUP(C482,CodePath_Defaults!A:A,CodePath_Defaults!D:D,""),IFERROR(_xludf.XLOOKUP(B482,CodePath_Defaults!B:B,CodePath_Defaults!D:D,""),""))</f>
        <v/>
      </c>
      <c r="T482" t="s">
        <v>801</v>
      </c>
    </row>
    <row r="483" spans="12:20" x14ac:dyDescent="0.35">
      <c r="L483" t="str">
        <f ca="1">IFERROR(_xludf.XLOOKUP(C483,CodePath_Defaults!A:A,CodePath_Defaults!D:D,""),IFERROR(_xludf.XLOOKUP(B483,CodePath_Defaults!B:B,CodePath_Defaults!D:D,""),""))</f>
        <v/>
      </c>
      <c r="T483" t="s">
        <v>801</v>
      </c>
    </row>
    <row r="484" spans="12:20" x14ac:dyDescent="0.35">
      <c r="L484" t="str">
        <f ca="1">IFERROR(_xludf.XLOOKUP(C484,CodePath_Defaults!A:A,CodePath_Defaults!D:D,""),IFERROR(_xludf.XLOOKUP(B484,CodePath_Defaults!B:B,CodePath_Defaults!D:D,""),""))</f>
        <v/>
      </c>
      <c r="T484" t="s">
        <v>801</v>
      </c>
    </row>
    <row r="485" spans="12:20" x14ac:dyDescent="0.35">
      <c r="L485" t="str">
        <f ca="1">IFERROR(_xludf.XLOOKUP(C485,CodePath_Defaults!A:A,CodePath_Defaults!D:D,""),IFERROR(_xludf.XLOOKUP(B485,CodePath_Defaults!B:B,CodePath_Defaults!D:D,""),""))</f>
        <v/>
      </c>
      <c r="T485" t="s">
        <v>801</v>
      </c>
    </row>
    <row r="486" spans="12:20" x14ac:dyDescent="0.35">
      <c r="L486" t="str">
        <f ca="1">IFERROR(_xludf.XLOOKUP(C486,CodePath_Defaults!A:A,CodePath_Defaults!D:D,""),IFERROR(_xludf.XLOOKUP(B486,CodePath_Defaults!B:B,CodePath_Defaults!D:D,""),""))</f>
        <v/>
      </c>
      <c r="T486" t="s">
        <v>801</v>
      </c>
    </row>
    <row r="487" spans="12:20" x14ac:dyDescent="0.35">
      <c r="L487" t="str">
        <f ca="1">IFERROR(_xludf.XLOOKUP(C487,CodePath_Defaults!A:A,CodePath_Defaults!D:D,""),IFERROR(_xludf.XLOOKUP(B487,CodePath_Defaults!B:B,CodePath_Defaults!D:D,""),""))</f>
        <v/>
      </c>
      <c r="T487" t="s">
        <v>801</v>
      </c>
    </row>
    <row r="488" spans="12:20" x14ac:dyDescent="0.35">
      <c r="L488" t="str">
        <f ca="1">IFERROR(_xludf.XLOOKUP(C488,CodePath_Defaults!A:A,CodePath_Defaults!D:D,""),IFERROR(_xludf.XLOOKUP(B488,CodePath_Defaults!B:B,CodePath_Defaults!D:D,""),""))</f>
        <v/>
      </c>
      <c r="T488" t="s">
        <v>801</v>
      </c>
    </row>
    <row r="489" spans="12:20" x14ac:dyDescent="0.35">
      <c r="L489" t="str">
        <f ca="1">IFERROR(_xludf.XLOOKUP(C489,CodePath_Defaults!A:A,CodePath_Defaults!D:D,""),IFERROR(_xludf.XLOOKUP(B489,CodePath_Defaults!B:B,CodePath_Defaults!D:D,""),""))</f>
        <v/>
      </c>
      <c r="T489" t="s">
        <v>801</v>
      </c>
    </row>
    <row r="490" spans="12:20" x14ac:dyDescent="0.35">
      <c r="L490" t="str">
        <f ca="1">IFERROR(_xludf.XLOOKUP(C490,CodePath_Defaults!A:A,CodePath_Defaults!D:D,""),IFERROR(_xludf.XLOOKUP(B490,CodePath_Defaults!B:B,CodePath_Defaults!D:D,""),""))</f>
        <v/>
      </c>
      <c r="T490" t="s">
        <v>801</v>
      </c>
    </row>
    <row r="491" spans="12:20" x14ac:dyDescent="0.35">
      <c r="L491" t="str">
        <f ca="1">IFERROR(_xludf.XLOOKUP(C491,CodePath_Defaults!A:A,CodePath_Defaults!D:D,""),IFERROR(_xludf.XLOOKUP(B491,CodePath_Defaults!B:B,CodePath_Defaults!D:D,""),""))</f>
        <v/>
      </c>
      <c r="T491" t="s">
        <v>801</v>
      </c>
    </row>
    <row r="492" spans="12:20" x14ac:dyDescent="0.35">
      <c r="L492" t="str">
        <f ca="1">IFERROR(_xludf.XLOOKUP(C492,CodePath_Defaults!A:A,CodePath_Defaults!D:D,""),IFERROR(_xludf.XLOOKUP(B492,CodePath_Defaults!B:B,CodePath_Defaults!D:D,""),""))</f>
        <v/>
      </c>
      <c r="T492" t="s">
        <v>801</v>
      </c>
    </row>
    <row r="493" spans="12:20" x14ac:dyDescent="0.35">
      <c r="L493" t="str">
        <f ca="1">IFERROR(_xludf.XLOOKUP(C493,CodePath_Defaults!A:A,CodePath_Defaults!D:D,""),IFERROR(_xludf.XLOOKUP(B493,CodePath_Defaults!B:B,CodePath_Defaults!D:D,""),""))</f>
        <v/>
      </c>
      <c r="T493" t="s">
        <v>801</v>
      </c>
    </row>
    <row r="494" spans="12:20" x14ac:dyDescent="0.35">
      <c r="L494" t="str">
        <f ca="1">IFERROR(_xludf.XLOOKUP(C494,CodePath_Defaults!A:A,CodePath_Defaults!D:D,""),IFERROR(_xludf.XLOOKUP(B494,CodePath_Defaults!B:B,CodePath_Defaults!D:D,""),""))</f>
        <v/>
      </c>
      <c r="T494" t="s">
        <v>801</v>
      </c>
    </row>
    <row r="495" spans="12:20" x14ac:dyDescent="0.35">
      <c r="L495" t="str">
        <f ca="1">IFERROR(_xludf.XLOOKUP(C495,CodePath_Defaults!A:A,CodePath_Defaults!D:D,""),IFERROR(_xludf.XLOOKUP(B495,CodePath_Defaults!B:B,CodePath_Defaults!D:D,""),""))</f>
        <v/>
      </c>
      <c r="T495" t="s">
        <v>801</v>
      </c>
    </row>
    <row r="496" spans="12:20" x14ac:dyDescent="0.35">
      <c r="L496" t="str">
        <f ca="1">IFERROR(_xludf.XLOOKUP(C496,CodePath_Defaults!A:A,CodePath_Defaults!D:D,""),IFERROR(_xludf.XLOOKUP(B496,CodePath_Defaults!B:B,CodePath_Defaults!D:D,""),""))</f>
        <v/>
      </c>
      <c r="T496" t="s">
        <v>801</v>
      </c>
    </row>
    <row r="497" spans="12:20" x14ac:dyDescent="0.35">
      <c r="L497" t="str">
        <f ca="1">IFERROR(_xludf.XLOOKUP(C497,CodePath_Defaults!A:A,CodePath_Defaults!D:D,""),IFERROR(_xludf.XLOOKUP(B497,CodePath_Defaults!B:B,CodePath_Defaults!D:D,""),""))</f>
        <v/>
      </c>
      <c r="T497" t="s">
        <v>801</v>
      </c>
    </row>
    <row r="498" spans="12:20" x14ac:dyDescent="0.35">
      <c r="L498" t="str">
        <f ca="1">IFERROR(_xludf.XLOOKUP(C498,CodePath_Defaults!A:A,CodePath_Defaults!D:D,""),IFERROR(_xludf.XLOOKUP(B498,CodePath_Defaults!B:B,CodePath_Defaults!D:D,""),""))</f>
        <v/>
      </c>
      <c r="T498" t="s">
        <v>801</v>
      </c>
    </row>
    <row r="499" spans="12:20" x14ac:dyDescent="0.35">
      <c r="L499" t="str">
        <f ca="1">IFERROR(_xludf.XLOOKUP(C499,CodePath_Defaults!A:A,CodePath_Defaults!D:D,""),IFERROR(_xludf.XLOOKUP(B499,CodePath_Defaults!B:B,CodePath_Defaults!D:D,""),""))</f>
        <v/>
      </c>
      <c r="T499" t="s">
        <v>801</v>
      </c>
    </row>
    <row r="500" spans="12:20" x14ac:dyDescent="0.35">
      <c r="L500" t="str">
        <f ca="1">IFERROR(_xludf.XLOOKUP(C500,CodePath_Defaults!A:A,CodePath_Defaults!D:D,""),IFERROR(_xludf.XLOOKUP(B500,CodePath_Defaults!B:B,CodePath_Defaults!D:D,""),""))</f>
        <v/>
      </c>
      <c r="T500" t="s">
        <v>801</v>
      </c>
    </row>
    <row r="501" spans="12:20" x14ac:dyDescent="0.35">
      <c r="L501" t="str">
        <f ca="1">IFERROR(_xludf.XLOOKUP(C501,CodePath_Defaults!A:A,CodePath_Defaults!D:D,""),IFERROR(_xludf.XLOOKUP(B501,CodePath_Defaults!B:B,CodePath_Defaults!D:D,""),""))</f>
        <v/>
      </c>
      <c r="T501" t="s">
        <v>801</v>
      </c>
    </row>
    <row r="502" spans="12:20" x14ac:dyDescent="0.35">
      <c r="L502" t="str">
        <f ca="1">IFERROR(_xludf.XLOOKUP(C502,CodePath_Defaults!A:A,CodePath_Defaults!D:D,""),IFERROR(_xludf.XLOOKUP(B502,CodePath_Defaults!B:B,CodePath_Defaults!D:D,""),""))</f>
        <v/>
      </c>
      <c r="T502" t="s">
        <v>801</v>
      </c>
    </row>
    <row r="503" spans="12:20" x14ac:dyDescent="0.35">
      <c r="L503" t="str">
        <f ca="1">IFERROR(_xludf.XLOOKUP(C503,CodePath_Defaults!A:A,CodePath_Defaults!D:D,""),IFERROR(_xludf.XLOOKUP(B503,CodePath_Defaults!B:B,CodePath_Defaults!D:D,""),""))</f>
        <v/>
      </c>
      <c r="T503" t="s">
        <v>801</v>
      </c>
    </row>
    <row r="504" spans="12:20" x14ac:dyDescent="0.35">
      <c r="L504" t="str">
        <f ca="1">IFERROR(_xludf.XLOOKUP(C504,CodePath_Defaults!A:A,CodePath_Defaults!D:D,""),IFERROR(_xludf.XLOOKUP(B504,CodePath_Defaults!B:B,CodePath_Defaults!D:D,""),""))</f>
        <v/>
      </c>
      <c r="T504" t="s">
        <v>801</v>
      </c>
    </row>
    <row r="505" spans="12:20" x14ac:dyDescent="0.35">
      <c r="L505" t="str">
        <f ca="1">IFERROR(_xludf.XLOOKUP(C505,CodePath_Defaults!A:A,CodePath_Defaults!D:D,""),IFERROR(_xludf.XLOOKUP(B505,CodePath_Defaults!B:B,CodePath_Defaults!D:D,""),""))</f>
        <v/>
      </c>
      <c r="T505" t="s">
        <v>801</v>
      </c>
    </row>
    <row r="506" spans="12:20" x14ac:dyDescent="0.35">
      <c r="L506" t="str">
        <f ca="1">IFERROR(_xludf.XLOOKUP(C506,CodePath_Defaults!A:A,CodePath_Defaults!D:D,""),IFERROR(_xludf.XLOOKUP(B506,CodePath_Defaults!B:B,CodePath_Defaults!D:D,""),""))</f>
        <v/>
      </c>
      <c r="T506" t="s">
        <v>801</v>
      </c>
    </row>
    <row r="507" spans="12:20" x14ac:dyDescent="0.35">
      <c r="L507" t="str">
        <f ca="1">IFERROR(_xludf.XLOOKUP(C507,CodePath_Defaults!A:A,CodePath_Defaults!D:D,""),IFERROR(_xludf.XLOOKUP(B507,CodePath_Defaults!B:B,CodePath_Defaults!D:D,""),""))</f>
        <v/>
      </c>
      <c r="T507" t="s">
        <v>801</v>
      </c>
    </row>
    <row r="508" spans="12:20" x14ac:dyDescent="0.35">
      <c r="L508" t="str">
        <f ca="1">IFERROR(_xludf.XLOOKUP(C508,CodePath_Defaults!A:A,CodePath_Defaults!D:D,""),IFERROR(_xludf.XLOOKUP(B508,CodePath_Defaults!B:B,CodePath_Defaults!D:D,""),""))</f>
        <v/>
      </c>
      <c r="T508" t="s">
        <v>801</v>
      </c>
    </row>
    <row r="509" spans="12:20" x14ac:dyDescent="0.35">
      <c r="L509" t="str">
        <f ca="1">IFERROR(_xludf.XLOOKUP(C509,CodePath_Defaults!A:A,CodePath_Defaults!D:D,""),IFERROR(_xludf.XLOOKUP(B509,CodePath_Defaults!B:B,CodePath_Defaults!D:D,""),""))</f>
        <v/>
      </c>
      <c r="T509" t="s">
        <v>801</v>
      </c>
    </row>
    <row r="510" spans="12:20" x14ac:dyDescent="0.35">
      <c r="L510" t="str">
        <f ca="1">IFERROR(_xludf.XLOOKUP(C510,CodePath_Defaults!A:A,CodePath_Defaults!D:D,""),IFERROR(_xludf.XLOOKUP(B510,CodePath_Defaults!B:B,CodePath_Defaults!D:D,""),""))</f>
        <v/>
      </c>
      <c r="T510" t="s">
        <v>801</v>
      </c>
    </row>
    <row r="511" spans="12:20" x14ac:dyDescent="0.35">
      <c r="L511" t="str">
        <f ca="1">IFERROR(_xludf.XLOOKUP(C511,CodePath_Defaults!A:A,CodePath_Defaults!D:D,""),IFERROR(_xludf.XLOOKUP(B511,CodePath_Defaults!B:B,CodePath_Defaults!D:D,""),""))</f>
        <v/>
      </c>
      <c r="T511" t="s">
        <v>801</v>
      </c>
    </row>
    <row r="512" spans="12:20" x14ac:dyDescent="0.35">
      <c r="L512" t="str">
        <f ca="1">IFERROR(_xludf.XLOOKUP(C512,CodePath_Defaults!A:A,CodePath_Defaults!D:D,""),IFERROR(_xludf.XLOOKUP(B512,CodePath_Defaults!B:B,CodePath_Defaults!D:D,""),""))</f>
        <v/>
      </c>
      <c r="T512" t="s">
        <v>801</v>
      </c>
    </row>
    <row r="513" spans="12:20" x14ac:dyDescent="0.35">
      <c r="L513" t="str">
        <f ca="1">IFERROR(_xludf.XLOOKUP(C513,CodePath_Defaults!A:A,CodePath_Defaults!D:D,""),IFERROR(_xludf.XLOOKUP(B513,CodePath_Defaults!B:B,CodePath_Defaults!D:D,""),""))</f>
        <v/>
      </c>
      <c r="T513" t="s">
        <v>801</v>
      </c>
    </row>
    <row r="514" spans="12:20" x14ac:dyDescent="0.35">
      <c r="L514" t="str">
        <f ca="1">IFERROR(_xludf.XLOOKUP(C514,CodePath_Defaults!A:A,CodePath_Defaults!D:D,""),IFERROR(_xludf.XLOOKUP(B514,CodePath_Defaults!B:B,CodePath_Defaults!D:D,""),""))</f>
        <v/>
      </c>
      <c r="T514" t="s">
        <v>801</v>
      </c>
    </row>
    <row r="515" spans="12:20" x14ac:dyDescent="0.35">
      <c r="L515" t="str">
        <f ca="1">IFERROR(_xludf.XLOOKUP(C515,CodePath_Defaults!A:A,CodePath_Defaults!D:D,""),IFERROR(_xludf.XLOOKUP(B515,CodePath_Defaults!B:B,CodePath_Defaults!D:D,""),""))</f>
        <v/>
      </c>
      <c r="T515" t="s">
        <v>801</v>
      </c>
    </row>
    <row r="516" spans="12:20" x14ac:dyDescent="0.35">
      <c r="L516" t="str">
        <f ca="1">IFERROR(_xludf.XLOOKUP(C516,CodePath_Defaults!A:A,CodePath_Defaults!D:D,""),IFERROR(_xludf.XLOOKUP(B516,CodePath_Defaults!B:B,CodePath_Defaults!D:D,""),""))</f>
        <v/>
      </c>
      <c r="T516" t="s">
        <v>801</v>
      </c>
    </row>
    <row r="517" spans="12:20" x14ac:dyDescent="0.35">
      <c r="L517" t="str">
        <f ca="1">IFERROR(_xludf.XLOOKUP(C517,CodePath_Defaults!A:A,CodePath_Defaults!D:D,""),IFERROR(_xludf.XLOOKUP(B517,CodePath_Defaults!B:B,CodePath_Defaults!D:D,""),""))</f>
        <v/>
      </c>
      <c r="T517" t="s">
        <v>801</v>
      </c>
    </row>
    <row r="518" spans="12:20" x14ac:dyDescent="0.35">
      <c r="L518" t="str">
        <f ca="1">IFERROR(_xludf.XLOOKUP(C518,CodePath_Defaults!A:A,CodePath_Defaults!D:D,""),IFERROR(_xludf.XLOOKUP(B518,CodePath_Defaults!B:B,CodePath_Defaults!D:D,""),""))</f>
        <v/>
      </c>
      <c r="T518" t="s">
        <v>801</v>
      </c>
    </row>
    <row r="519" spans="12:20" x14ac:dyDescent="0.35">
      <c r="L519" t="str">
        <f ca="1">IFERROR(_xludf.XLOOKUP(C519,CodePath_Defaults!A:A,CodePath_Defaults!D:D,""),IFERROR(_xludf.XLOOKUP(B519,CodePath_Defaults!B:B,CodePath_Defaults!D:D,""),""))</f>
        <v/>
      </c>
      <c r="T519" t="s">
        <v>801</v>
      </c>
    </row>
    <row r="520" spans="12:20" x14ac:dyDescent="0.35">
      <c r="L520" t="str">
        <f ca="1">IFERROR(_xludf.XLOOKUP(C520,CodePath_Defaults!A:A,CodePath_Defaults!D:D,""),IFERROR(_xludf.XLOOKUP(B520,CodePath_Defaults!B:B,CodePath_Defaults!D:D,""),""))</f>
        <v/>
      </c>
      <c r="T520" t="s">
        <v>801</v>
      </c>
    </row>
    <row r="521" spans="12:20" x14ac:dyDescent="0.35">
      <c r="L521" t="str">
        <f ca="1">IFERROR(_xludf.XLOOKUP(C521,CodePath_Defaults!A:A,CodePath_Defaults!D:D,""),IFERROR(_xludf.XLOOKUP(B521,CodePath_Defaults!B:B,CodePath_Defaults!D:D,""),""))</f>
        <v/>
      </c>
      <c r="T521" t="s">
        <v>801</v>
      </c>
    </row>
    <row r="522" spans="12:20" x14ac:dyDescent="0.35">
      <c r="L522" t="str">
        <f ca="1">IFERROR(_xludf.XLOOKUP(C522,CodePath_Defaults!A:A,CodePath_Defaults!D:D,""),IFERROR(_xludf.XLOOKUP(B522,CodePath_Defaults!B:B,CodePath_Defaults!D:D,""),""))</f>
        <v/>
      </c>
      <c r="T522" t="s">
        <v>801</v>
      </c>
    </row>
    <row r="523" spans="12:20" x14ac:dyDescent="0.35">
      <c r="L523" t="str">
        <f ca="1">IFERROR(_xludf.XLOOKUP(C523,CodePath_Defaults!A:A,CodePath_Defaults!D:D,""),IFERROR(_xludf.XLOOKUP(B523,CodePath_Defaults!B:B,CodePath_Defaults!D:D,""),""))</f>
        <v/>
      </c>
      <c r="T523" t="s">
        <v>801</v>
      </c>
    </row>
    <row r="524" spans="12:20" x14ac:dyDescent="0.35">
      <c r="L524" t="str">
        <f ca="1">IFERROR(_xludf.XLOOKUP(C524,CodePath_Defaults!A:A,CodePath_Defaults!D:D,""),IFERROR(_xludf.XLOOKUP(B524,CodePath_Defaults!B:B,CodePath_Defaults!D:D,""),""))</f>
        <v/>
      </c>
      <c r="T524" t="s">
        <v>801</v>
      </c>
    </row>
    <row r="525" spans="12:20" x14ac:dyDescent="0.35">
      <c r="L525" t="str">
        <f ca="1">IFERROR(_xludf.XLOOKUP(C525,CodePath_Defaults!A:A,CodePath_Defaults!D:D,""),IFERROR(_xludf.XLOOKUP(B525,CodePath_Defaults!B:B,CodePath_Defaults!D:D,""),""))</f>
        <v/>
      </c>
      <c r="T525" t="s">
        <v>801</v>
      </c>
    </row>
    <row r="526" spans="12:20" x14ac:dyDescent="0.35">
      <c r="L526" t="str">
        <f ca="1">IFERROR(_xludf.XLOOKUP(C526,CodePath_Defaults!A:A,CodePath_Defaults!D:D,""),IFERROR(_xludf.XLOOKUP(B526,CodePath_Defaults!B:B,CodePath_Defaults!D:D,""),""))</f>
        <v/>
      </c>
      <c r="T526" t="s">
        <v>801</v>
      </c>
    </row>
    <row r="527" spans="12:20" x14ac:dyDescent="0.35">
      <c r="L527" t="str">
        <f ca="1">IFERROR(_xludf.XLOOKUP(C527,CodePath_Defaults!A:A,CodePath_Defaults!D:D,""),IFERROR(_xludf.XLOOKUP(B527,CodePath_Defaults!B:B,CodePath_Defaults!D:D,""),""))</f>
        <v/>
      </c>
      <c r="T527" t="s">
        <v>801</v>
      </c>
    </row>
    <row r="528" spans="12:20" x14ac:dyDescent="0.35">
      <c r="L528" t="str">
        <f ca="1">IFERROR(_xludf.XLOOKUP(C528,CodePath_Defaults!A:A,CodePath_Defaults!D:D,""),IFERROR(_xludf.XLOOKUP(B528,CodePath_Defaults!B:B,CodePath_Defaults!D:D,""),""))</f>
        <v/>
      </c>
      <c r="T528" t="s">
        <v>801</v>
      </c>
    </row>
    <row r="529" spans="12:20" x14ac:dyDescent="0.35">
      <c r="L529" t="str">
        <f ca="1">IFERROR(_xludf.XLOOKUP(C529,CodePath_Defaults!A:A,CodePath_Defaults!D:D,""),IFERROR(_xludf.XLOOKUP(B529,CodePath_Defaults!B:B,CodePath_Defaults!D:D,""),""))</f>
        <v/>
      </c>
      <c r="T529" t="s">
        <v>801</v>
      </c>
    </row>
    <row r="530" spans="12:20" x14ac:dyDescent="0.35">
      <c r="L530" t="str">
        <f ca="1">IFERROR(_xludf.XLOOKUP(C530,CodePath_Defaults!A:A,CodePath_Defaults!D:D,""),IFERROR(_xludf.XLOOKUP(B530,CodePath_Defaults!B:B,CodePath_Defaults!D:D,""),""))</f>
        <v/>
      </c>
      <c r="T530" t="s">
        <v>801</v>
      </c>
    </row>
    <row r="531" spans="12:20" x14ac:dyDescent="0.35">
      <c r="L531" t="str">
        <f ca="1">IFERROR(_xludf.XLOOKUP(C531,CodePath_Defaults!A:A,CodePath_Defaults!D:D,""),IFERROR(_xludf.XLOOKUP(B531,CodePath_Defaults!B:B,CodePath_Defaults!D:D,""),""))</f>
        <v/>
      </c>
      <c r="T531" t="s">
        <v>801</v>
      </c>
    </row>
    <row r="532" spans="12:20" x14ac:dyDescent="0.35">
      <c r="L532" t="str">
        <f ca="1">IFERROR(_xludf.XLOOKUP(C532,CodePath_Defaults!A:A,CodePath_Defaults!D:D,""),IFERROR(_xludf.XLOOKUP(B532,CodePath_Defaults!B:B,CodePath_Defaults!D:D,""),""))</f>
        <v/>
      </c>
      <c r="T532" t="s">
        <v>801</v>
      </c>
    </row>
    <row r="533" spans="12:20" x14ac:dyDescent="0.35">
      <c r="L533" t="str">
        <f ca="1">IFERROR(_xludf.XLOOKUP(C533,CodePath_Defaults!A:A,CodePath_Defaults!D:D,""),IFERROR(_xludf.XLOOKUP(B533,CodePath_Defaults!B:B,CodePath_Defaults!D:D,""),""))</f>
        <v/>
      </c>
      <c r="T533" t="s">
        <v>801</v>
      </c>
    </row>
    <row r="534" spans="12:20" x14ac:dyDescent="0.35">
      <c r="L534" t="str">
        <f ca="1">IFERROR(_xludf.XLOOKUP(C534,CodePath_Defaults!A:A,CodePath_Defaults!D:D,""),IFERROR(_xludf.XLOOKUP(B534,CodePath_Defaults!B:B,CodePath_Defaults!D:D,""),""))</f>
        <v/>
      </c>
      <c r="T534" t="s">
        <v>801</v>
      </c>
    </row>
    <row r="535" spans="12:20" x14ac:dyDescent="0.35">
      <c r="L535" t="str">
        <f ca="1">IFERROR(_xludf.XLOOKUP(C535,CodePath_Defaults!A:A,CodePath_Defaults!D:D,""),IFERROR(_xludf.XLOOKUP(B535,CodePath_Defaults!B:B,CodePath_Defaults!D:D,""),""))</f>
        <v/>
      </c>
      <c r="T535" t="s">
        <v>801</v>
      </c>
    </row>
    <row r="536" spans="12:20" x14ac:dyDescent="0.35">
      <c r="L536" t="str">
        <f ca="1">IFERROR(_xludf.XLOOKUP(C536,CodePath_Defaults!A:A,CodePath_Defaults!D:D,""),IFERROR(_xludf.XLOOKUP(B536,CodePath_Defaults!B:B,CodePath_Defaults!D:D,""),""))</f>
        <v/>
      </c>
      <c r="T536" t="s">
        <v>801</v>
      </c>
    </row>
    <row r="537" spans="12:20" x14ac:dyDescent="0.35">
      <c r="L537" t="str">
        <f ca="1">IFERROR(_xludf.XLOOKUP(C537,CodePath_Defaults!A:A,CodePath_Defaults!D:D,""),IFERROR(_xludf.XLOOKUP(B537,CodePath_Defaults!B:B,CodePath_Defaults!D:D,""),""))</f>
        <v/>
      </c>
      <c r="T537" t="s">
        <v>801</v>
      </c>
    </row>
    <row r="538" spans="12:20" x14ac:dyDescent="0.35">
      <c r="L538" t="str">
        <f ca="1">IFERROR(_xludf.XLOOKUP(C538,CodePath_Defaults!A:A,CodePath_Defaults!D:D,""),IFERROR(_xludf.XLOOKUP(B538,CodePath_Defaults!B:B,CodePath_Defaults!D:D,""),""))</f>
        <v/>
      </c>
      <c r="T538" t="s">
        <v>801</v>
      </c>
    </row>
    <row r="539" spans="12:20" x14ac:dyDescent="0.35">
      <c r="L539" t="str">
        <f ca="1">IFERROR(_xludf.XLOOKUP(C539,CodePath_Defaults!A:A,CodePath_Defaults!D:D,""),IFERROR(_xludf.XLOOKUP(B539,CodePath_Defaults!B:B,CodePath_Defaults!D:D,""),""))</f>
        <v/>
      </c>
      <c r="T539" t="s">
        <v>801</v>
      </c>
    </row>
    <row r="540" spans="12:20" x14ac:dyDescent="0.35">
      <c r="L540" t="str">
        <f ca="1">IFERROR(_xludf.XLOOKUP(C540,CodePath_Defaults!A:A,CodePath_Defaults!D:D,""),IFERROR(_xludf.XLOOKUP(B540,CodePath_Defaults!B:B,CodePath_Defaults!D:D,""),""))</f>
        <v/>
      </c>
      <c r="T540" t="s">
        <v>801</v>
      </c>
    </row>
    <row r="541" spans="12:20" x14ac:dyDescent="0.35">
      <c r="L541" t="str">
        <f ca="1">IFERROR(_xludf.XLOOKUP(C541,CodePath_Defaults!A:A,CodePath_Defaults!D:D,""),IFERROR(_xludf.XLOOKUP(B541,CodePath_Defaults!B:B,CodePath_Defaults!D:D,""),""))</f>
        <v/>
      </c>
      <c r="T541" t="s">
        <v>801</v>
      </c>
    </row>
    <row r="542" spans="12:20" x14ac:dyDescent="0.35">
      <c r="L542" t="str">
        <f ca="1">IFERROR(_xludf.XLOOKUP(C542,CodePath_Defaults!A:A,CodePath_Defaults!D:D,""),IFERROR(_xludf.XLOOKUP(B542,CodePath_Defaults!B:B,CodePath_Defaults!D:D,""),""))</f>
        <v/>
      </c>
      <c r="T542" t="s">
        <v>801</v>
      </c>
    </row>
    <row r="543" spans="12:20" x14ac:dyDescent="0.35">
      <c r="L543" t="str">
        <f ca="1">IFERROR(_xludf.XLOOKUP(C543,CodePath_Defaults!A:A,CodePath_Defaults!D:D,""),IFERROR(_xludf.XLOOKUP(B543,CodePath_Defaults!B:B,CodePath_Defaults!D:D,""),""))</f>
        <v/>
      </c>
      <c r="T543" t="s">
        <v>801</v>
      </c>
    </row>
    <row r="544" spans="12:20" x14ac:dyDescent="0.35">
      <c r="L544" t="str">
        <f ca="1">IFERROR(_xludf.XLOOKUP(C544,CodePath_Defaults!A:A,CodePath_Defaults!D:D,""),IFERROR(_xludf.XLOOKUP(B544,CodePath_Defaults!B:B,CodePath_Defaults!D:D,""),""))</f>
        <v/>
      </c>
      <c r="T544" t="s">
        <v>801</v>
      </c>
    </row>
    <row r="545" spans="12:20" x14ac:dyDescent="0.35">
      <c r="L545" t="str">
        <f ca="1">IFERROR(_xludf.XLOOKUP(C545,CodePath_Defaults!A:A,CodePath_Defaults!D:D,""),IFERROR(_xludf.XLOOKUP(B545,CodePath_Defaults!B:B,CodePath_Defaults!D:D,""),""))</f>
        <v/>
      </c>
      <c r="T545" t="s">
        <v>801</v>
      </c>
    </row>
    <row r="546" spans="12:20" x14ac:dyDescent="0.35">
      <c r="L546" t="str">
        <f ca="1">IFERROR(_xludf.XLOOKUP(C546,CodePath_Defaults!A:A,CodePath_Defaults!D:D,""),IFERROR(_xludf.XLOOKUP(B546,CodePath_Defaults!B:B,CodePath_Defaults!D:D,""),""))</f>
        <v/>
      </c>
      <c r="T546" t="s">
        <v>801</v>
      </c>
    </row>
    <row r="547" spans="12:20" x14ac:dyDescent="0.35">
      <c r="L547" t="str">
        <f ca="1">IFERROR(_xludf.XLOOKUP(C547,CodePath_Defaults!A:A,CodePath_Defaults!D:D,""),IFERROR(_xludf.XLOOKUP(B547,CodePath_Defaults!B:B,CodePath_Defaults!D:D,""),""))</f>
        <v/>
      </c>
      <c r="T547" t="s">
        <v>801</v>
      </c>
    </row>
    <row r="548" spans="12:20" x14ac:dyDescent="0.35">
      <c r="L548" t="str">
        <f ca="1">IFERROR(_xludf.XLOOKUP(C548,CodePath_Defaults!A:A,CodePath_Defaults!D:D,""),IFERROR(_xludf.XLOOKUP(B548,CodePath_Defaults!B:B,CodePath_Defaults!D:D,""),""))</f>
        <v/>
      </c>
      <c r="T548" t="s">
        <v>801</v>
      </c>
    </row>
    <row r="549" spans="12:20" x14ac:dyDescent="0.35">
      <c r="L549" t="str">
        <f ca="1">IFERROR(_xludf.XLOOKUP(C549,CodePath_Defaults!A:A,CodePath_Defaults!D:D,""),IFERROR(_xludf.XLOOKUP(B549,CodePath_Defaults!B:B,CodePath_Defaults!D:D,""),""))</f>
        <v/>
      </c>
      <c r="T549" t="s">
        <v>801</v>
      </c>
    </row>
    <row r="550" spans="12:20" x14ac:dyDescent="0.35">
      <c r="L550" t="str">
        <f ca="1">IFERROR(_xludf.XLOOKUP(C550,CodePath_Defaults!A:A,CodePath_Defaults!D:D,""),IFERROR(_xludf.XLOOKUP(B550,CodePath_Defaults!B:B,CodePath_Defaults!D:D,""),""))</f>
        <v/>
      </c>
      <c r="T550" t="s">
        <v>801</v>
      </c>
    </row>
    <row r="551" spans="12:20" x14ac:dyDescent="0.35">
      <c r="L551" t="str">
        <f ca="1">IFERROR(_xludf.XLOOKUP(C551,CodePath_Defaults!A:A,CodePath_Defaults!D:D,""),IFERROR(_xludf.XLOOKUP(B551,CodePath_Defaults!B:B,CodePath_Defaults!D:D,""),""))</f>
        <v/>
      </c>
      <c r="T551" t="s">
        <v>801</v>
      </c>
    </row>
    <row r="552" spans="12:20" x14ac:dyDescent="0.35">
      <c r="L552" t="str">
        <f ca="1">IFERROR(_xludf.XLOOKUP(C552,CodePath_Defaults!A:A,CodePath_Defaults!D:D,""),IFERROR(_xludf.XLOOKUP(B552,CodePath_Defaults!B:B,CodePath_Defaults!D:D,""),""))</f>
        <v/>
      </c>
      <c r="T552" t="s">
        <v>801</v>
      </c>
    </row>
    <row r="553" spans="12:20" x14ac:dyDescent="0.35">
      <c r="L553" t="str">
        <f ca="1">IFERROR(_xludf.XLOOKUP(C553,CodePath_Defaults!A:A,CodePath_Defaults!D:D,""),IFERROR(_xludf.XLOOKUP(B553,CodePath_Defaults!B:B,CodePath_Defaults!D:D,""),""))</f>
        <v/>
      </c>
      <c r="T553" t="s">
        <v>801</v>
      </c>
    </row>
    <row r="554" spans="12:20" x14ac:dyDescent="0.35">
      <c r="L554" t="str">
        <f ca="1">IFERROR(_xludf.XLOOKUP(C554,CodePath_Defaults!A:A,CodePath_Defaults!D:D,""),IFERROR(_xludf.XLOOKUP(B554,CodePath_Defaults!B:B,CodePath_Defaults!D:D,""),""))</f>
        <v/>
      </c>
      <c r="T554" t="s">
        <v>801</v>
      </c>
    </row>
    <row r="555" spans="12:20" x14ac:dyDescent="0.35">
      <c r="L555" t="str">
        <f ca="1">IFERROR(_xludf.XLOOKUP(C555,CodePath_Defaults!A:A,CodePath_Defaults!D:D,""),IFERROR(_xludf.XLOOKUP(B555,CodePath_Defaults!B:B,CodePath_Defaults!D:D,""),""))</f>
        <v/>
      </c>
      <c r="T555" t="s">
        <v>801</v>
      </c>
    </row>
    <row r="556" spans="12:20" x14ac:dyDescent="0.35">
      <c r="L556" t="str">
        <f ca="1">IFERROR(_xludf.XLOOKUP(C556,CodePath_Defaults!A:A,CodePath_Defaults!D:D,""),IFERROR(_xludf.XLOOKUP(B556,CodePath_Defaults!B:B,CodePath_Defaults!D:D,""),""))</f>
        <v/>
      </c>
      <c r="T556" t="s">
        <v>801</v>
      </c>
    </row>
    <row r="557" spans="12:20" x14ac:dyDescent="0.35">
      <c r="L557" t="str">
        <f ca="1">IFERROR(_xludf.XLOOKUP(C557,CodePath_Defaults!A:A,CodePath_Defaults!D:D,""),IFERROR(_xludf.XLOOKUP(B557,CodePath_Defaults!B:B,CodePath_Defaults!D:D,""),""))</f>
        <v/>
      </c>
      <c r="T557" t="s">
        <v>801</v>
      </c>
    </row>
    <row r="558" spans="12:20" x14ac:dyDescent="0.35">
      <c r="L558" t="str">
        <f ca="1">IFERROR(_xludf.XLOOKUP(C558,CodePath_Defaults!A:A,CodePath_Defaults!D:D,""),IFERROR(_xludf.XLOOKUP(B558,CodePath_Defaults!B:B,CodePath_Defaults!D:D,""),""))</f>
        <v/>
      </c>
      <c r="T558" t="s">
        <v>801</v>
      </c>
    </row>
    <row r="559" spans="12:20" x14ac:dyDescent="0.35">
      <c r="L559" t="str">
        <f ca="1">IFERROR(_xludf.XLOOKUP(C559,CodePath_Defaults!A:A,CodePath_Defaults!D:D,""),IFERROR(_xludf.XLOOKUP(B559,CodePath_Defaults!B:B,CodePath_Defaults!D:D,""),""))</f>
        <v/>
      </c>
      <c r="T559" t="s">
        <v>801</v>
      </c>
    </row>
    <row r="560" spans="12:20" x14ac:dyDescent="0.35">
      <c r="L560" t="str">
        <f ca="1">IFERROR(_xludf.XLOOKUP(C560,CodePath_Defaults!A:A,CodePath_Defaults!D:D,""),IFERROR(_xludf.XLOOKUP(B560,CodePath_Defaults!B:B,CodePath_Defaults!D:D,""),""))</f>
        <v/>
      </c>
      <c r="T560" t="s">
        <v>801</v>
      </c>
    </row>
    <row r="561" spans="12:20" x14ac:dyDescent="0.35">
      <c r="L561" t="str">
        <f ca="1">IFERROR(_xludf.XLOOKUP(C561,CodePath_Defaults!A:A,CodePath_Defaults!D:D,""),IFERROR(_xludf.XLOOKUP(B561,CodePath_Defaults!B:B,CodePath_Defaults!D:D,""),""))</f>
        <v/>
      </c>
      <c r="T561" t="s">
        <v>801</v>
      </c>
    </row>
    <row r="562" spans="12:20" x14ac:dyDescent="0.35">
      <c r="L562" t="str">
        <f ca="1">IFERROR(_xludf.XLOOKUP(C562,CodePath_Defaults!A:A,CodePath_Defaults!D:D,""),IFERROR(_xludf.XLOOKUP(B562,CodePath_Defaults!B:B,CodePath_Defaults!D:D,""),""))</f>
        <v/>
      </c>
      <c r="T562" t="s">
        <v>801</v>
      </c>
    </row>
    <row r="563" spans="12:20" x14ac:dyDescent="0.35">
      <c r="L563" t="str">
        <f ca="1">IFERROR(_xludf.XLOOKUP(C563,CodePath_Defaults!A:A,CodePath_Defaults!D:D,""),IFERROR(_xludf.XLOOKUP(B563,CodePath_Defaults!B:B,CodePath_Defaults!D:D,""),""))</f>
        <v/>
      </c>
      <c r="T563" t="s">
        <v>801</v>
      </c>
    </row>
    <row r="564" spans="12:20" x14ac:dyDescent="0.35">
      <c r="L564" t="str">
        <f ca="1">IFERROR(_xludf.XLOOKUP(C564,CodePath_Defaults!A:A,CodePath_Defaults!D:D,""),IFERROR(_xludf.XLOOKUP(B564,CodePath_Defaults!B:B,CodePath_Defaults!D:D,""),""))</f>
        <v/>
      </c>
      <c r="T564" t="s">
        <v>801</v>
      </c>
    </row>
    <row r="565" spans="12:20" x14ac:dyDescent="0.35">
      <c r="L565" t="str">
        <f ca="1">IFERROR(_xludf.XLOOKUP(C565,CodePath_Defaults!A:A,CodePath_Defaults!D:D,""),IFERROR(_xludf.XLOOKUP(B565,CodePath_Defaults!B:B,CodePath_Defaults!D:D,""),""))</f>
        <v/>
      </c>
      <c r="T565" t="s">
        <v>801</v>
      </c>
    </row>
    <row r="566" spans="12:20" x14ac:dyDescent="0.35">
      <c r="L566" t="str">
        <f ca="1">IFERROR(_xludf.XLOOKUP(C566,CodePath_Defaults!A:A,CodePath_Defaults!D:D,""),IFERROR(_xludf.XLOOKUP(B566,CodePath_Defaults!B:B,CodePath_Defaults!D:D,""),""))</f>
        <v/>
      </c>
      <c r="T566" t="s">
        <v>801</v>
      </c>
    </row>
    <row r="567" spans="12:20" x14ac:dyDescent="0.35">
      <c r="L567" t="str">
        <f ca="1">IFERROR(_xludf.XLOOKUP(C567,CodePath_Defaults!A:A,CodePath_Defaults!D:D,""),IFERROR(_xludf.XLOOKUP(B567,CodePath_Defaults!B:B,CodePath_Defaults!D:D,""),""))</f>
        <v/>
      </c>
      <c r="T567" t="s">
        <v>801</v>
      </c>
    </row>
    <row r="568" spans="12:20" x14ac:dyDescent="0.35">
      <c r="L568" t="str">
        <f ca="1">IFERROR(_xludf.XLOOKUP(C568,CodePath_Defaults!A:A,CodePath_Defaults!D:D,""),IFERROR(_xludf.XLOOKUP(B568,CodePath_Defaults!B:B,CodePath_Defaults!D:D,""),""))</f>
        <v/>
      </c>
      <c r="T568" t="s">
        <v>801</v>
      </c>
    </row>
    <row r="569" spans="12:20" x14ac:dyDescent="0.35">
      <c r="L569" t="str">
        <f ca="1">IFERROR(_xludf.XLOOKUP(C569,CodePath_Defaults!A:A,CodePath_Defaults!D:D,""),IFERROR(_xludf.XLOOKUP(B569,CodePath_Defaults!B:B,CodePath_Defaults!D:D,""),""))</f>
        <v/>
      </c>
      <c r="T569" t="s">
        <v>801</v>
      </c>
    </row>
    <row r="570" spans="12:20" x14ac:dyDescent="0.35">
      <c r="L570" t="str">
        <f ca="1">IFERROR(_xludf.XLOOKUP(C570,CodePath_Defaults!A:A,CodePath_Defaults!D:D,""),IFERROR(_xludf.XLOOKUP(B570,CodePath_Defaults!B:B,CodePath_Defaults!D:D,""),""))</f>
        <v/>
      </c>
      <c r="T570" t="s">
        <v>801</v>
      </c>
    </row>
    <row r="571" spans="12:20" x14ac:dyDescent="0.35">
      <c r="L571" t="str">
        <f ca="1">IFERROR(_xludf.XLOOKUP(C571,CodePath_Defaults!A:A,CodePath_Defaults!D:D,""),IFERROR(_xludf.XLOOKUP(B571,CodePath_Defaults!B:B,CodePath_Defaults!D:D,""),""))</f>
        <v/>
      </c>
      <c r="T571" t="s">
        <v>801</v>
      </c>
    </row>
    <row r="572" spans="12:20" x14ac:dyDescent="0.35">
      <c r="L572" t="str">
        <f ca="1">IFERROR(_xludf.XLOOKUP(C572,CodePath_Defaults!A:A,CodePath_Defaults!D:D,""),IFERROR(_xludf.XLOOKUP(B572,CodePath_Defaults!B:B,CodePath_Defaults!D:D,""),""))</f>
        <v/>
      </c>
      <c r="T572" t="s">
        <v>801</v>
      </c>
    </row>
    <row r="573" spans="12:20" x14ac:dyDescent="0.35">
      <c r="L573" t="str">
        <f ca="1">IFERROR(_xludf.XLOOKUP(C573,CodePath_Defaults!A:A,CodePath_Defaults!D:D,""),IFERROR(_xludf.XLOOKUP(B573,CodePath_Defaults!B:B,CodePath_Defaults!D:D,""),""))</f>
        <v/>
      </c>
      <c r="T573" t="s">
        <v>801</v>
      </c>
    </row>
    <row r="574" spans="12:20" x14ac:dyDescent="0.35">
      <c r="L574" t="str">
        <f ca="1">IFERROR(_xludf.XLOOKUP(C574,CodePath_Defaults!A:A,CodePath_Defaults!D:D,""),IFERROR(_xludf.XLOOKUP(B574,CodePath_Defaults!B:B,CodePath_Defaults!D:D,""),""))</f>
        <v/>
      </c>
      <c r="T574" t="s">
        <v>801</v>
      </c>
    </row>
    <row r="575" spans="12:20" x14ac:dyDescent="0.35">
      <c r="L575" t="str">
        <f ca="1">IFERROR(_xludf.XLOOKUP(C575,CodePath_Defaults!A:A,CodePath_Defaults!D:D,""),IFERROR(_xludf.XLOOKUP(B575,CodePath_Defaults!B:B,CodePath_Defaults!D:D,""),""))</f>
        <v/>
      </c>
      <c r="T575" t="s">
        <v>801</v>
      </c>
    </row>
    <row r="576" spans="12:20" x14ac:dyDescent="0.35">
      <c r="L576" t="str">
        <f ca="1">IFERROR(_xludf.XLOOKUP(C576,CodePath_Defaults!A:A,CodePath_Defaults!D:D,""),IFERROR(_xludf.XLOOKUP(B576,CodePath_Defaults!B:B,CodePath_Defaults!D:D,""),""))</f>
        <v/>
      </c>
      <c r="T576" t="s">
        <v>801</v>
      </c>
    </row>
    <row r="577" spans="12:20" x14ac:dyDescent="0.35">
      <c r="L577" t="str">
        <f ca="1">IFERROR(_xludf.XLOOKUP(C577,CodePath_Defaults!A:A,CodePath_Defaults!D:D,""),IFERROR(_xludf.XLOOKUP(B577,CodePath_Defaults!B:B,CodePath_Defaults!D:D,""),""))</f>
        <v/>
      </c>
      <c r="T577" t="s">
        <v>801</v>
      </c>
    </row>
    <row r="578" spans="12:20" x14ac:dyDescent="0.35">
      <c r="L578" t="str">
        <f ca="1">IFERROR(_xludf.XLOOKUP(C578,CodePath_Defaults!A:A,CodePath_Defaults!D:D,""),IFERROR(_xludf.XLOOKUP(B578,CodePath_Defaults!B:B,CodePath_Defaults!D:D,""),""))</f>
        <v/>
      </c>
      <c r="T578" t="s">
        <v>801</v>
      </c>
    </row>
    <row r="579" spans="12:20" x14ac:dyDescent="0.35">
      <c r="L579" t="str">
        <f ca="1">IFERROR(_xludf.XLOOKUP(C579,CodePath_Defaults!A:A,CodePath_Defaults!D:D,""),IFERROR(_xludf.XLOOKUP(B579,CodePath_Defaults!B:B,CodePath_Defaults!D:D,""),""))</f>
        <v/>
      </c>
      <c r="T579" t="s">
        <v>801</v>
      </c>
    </row>
    <row r="580" spans="12:20" x14ac:dyDescent="0.35">
      <c r="L580" t="str">
        <f ca="1">IFERROR(_xludf.XLOOKUP(C580,CodePath_Defaults!A:A,CodePath_Defaults!D:D,""),IFERROR(_xludf.XLOOKUP(B580,CodePath_Defaults!B:B,CodePath_Defaults!D:D,""),""))</f>
        <v/>
      </c>
      <c r="T580" t="s">
        <v>801</v>
      </c>
    </row>
    <row r="581" spans="12:20" x14ac:dyDescent="0.35">
      <c r="L581" t="str">
        <f ca="1">IFERROR(_xludf.XLOOKUP(C581,CodePath_Defaults!A:A,CodePath_Defaults!D:D,""),IFERROR(_xludf.XLOOKUP(B581,CodePath_Defaults!B:B,CodePath_Defaults!D:D,""),""))</f>
        <v/>
      </c>
      <c r="T581" t="s">
        <v>801</v>
      </c>
    </row>
    <row r="582" spans="12:20" x14ac:dyDescent="0.35">
      <c r="L582" t="str">
        <f ca="1">IFERROR(_xludf.XLOOKUP(C582,CodePath_Defaults!A:A,CodePath_Defaults!D:D,""),IFERROR(_xludf.XLOOKUP(B582,CodePath_Defaults!B:B,CodePath_Defaults!D:D,""),""))</f>
        <v/>
      </c>
      <c r="T582" t="s">
        <v>801</v>
      </c>
    </row>
    <row r="583" spans="12:20" x14ac:dyDescent="0.35">
      <c r="L583" t="str">
        <f ca="1">IFERROR(_xludf.XLOOKUP(C583,CodePath_Defaults!A:A,CodePath_Defaults!D:D,""),IFERROR(_xludf.XLOOKUP(B583,CodePath_Defaults!B:B,CodePath_Defaults!D:D,""),""))</f>
        <v/>
      </c>
      <c r="T583" t="s">
        <v>801</v>
      </c>
    </row>
    <row r="584" spans="12:20" x14ac:dyDescent="0.35">
      <c r="L584" t="str">
        <f ca="1">IFERROR(_xludf.XLOOKUP(C584,CodePath_Defaults!A:A,CodePath_Defaults!D:D,""),IFERROR(_xludf.XLOOKUP(B584,CodePath_Defaults!B:B,CodePath_Defaults!D:D,""),""))</f>
        <v/>
      </c>
      <c r="T584" t="s">
        <v>801</v>
      </c>
    </row>
    <row r="585" spans="12:20" x14ac:dyDescent="0.35">
      <c r="L585" t="str">
        <f ca="1">IFERROR(_xludf.XLOOKUP(C585,CodePath_Defaults!A:A,CodePath_Defaults!D:D,""),IFERROR(_xludf.XLOOKUP(B585,CodePath_Defaults!B:B,CodePath_Defaults!D:D,""),""))</f>
        <v/>
      </c>
      <c r="T585" t="s">
        <v>801</v>
      </c>
    </row>
    <row r="586" spans="12:20" x14ac:dyDescent="0.35">
      <c r="L586" t="str">
        <f ca="1">IFERROR(_xludf.XLOOKUP(C586,CodePath_Defaults!A:A,CodePath_Defaults!D:D,""),IFERROR(_xludf.XLOOKUP(B586,CodePath_Defaults!B:B,CodePath_Defaults!D:D,""),""))</f>
        <v/>
      </c>
      <c r="T586" t="s">
        <v>801</v>
      </c>
    </row>
    <row r="587" spans="12:20" x14ac:dyDescent="0.35">
      <c r="L587" t="str">
        <f ca="1">IFERROR(_xludf.XLOOKUP(C587,CodePath_Defaults!A:A,CodePath_Defaults!D:D,""),IFERROR(_xludf.XLOOKUP(B587,CodePath_Defaults!B:B,CodePath_Defaults!D:D,""),""))</f>
        <v/>
      </c>
      <c r="T587" t="s">
        <v>801</v>
      </c>
    </row>
    <row r="588" spans="12:20" x14ac:dyDescent="0.35">
      <c r="L588" t="str">
        <f ca="1">IFERROR(_xludf.XLOOKUP(C588,CodePath_Defaults!A:A,CodePath_Defaults!D:D,""),IFERROR(_xludf.XLOOKUP(B588,CodePath_Defaults!B:B,CodePath_Defaults!D:D,""),""))</f>
        <v/>
      </c>
      <c r="T588" t="s">
        <v>801</v>
      </c>
    </row>
    <row r="589" spans="12:20" x14ac:dyDescent="0.35">
      <c r="L589" t="str">
        <f ca="1">IFERROR(_xludf.XLOOKUP(C589,CodePath_Defaults!A:A,CodePath_Defaults!D:D,""),IFERROR(_xludf.XLOOKUP(B589,CodePath_Defaults!B:B,CodePath_Defaults!D:D,""),""))</f>
        <v/>
      </c>
      <c r="T589" t="s">
        <v>801</v>
      </c>
    </row>
    <row r="590" spans="12:20" x14ac:dyDescent="0.35">
      <c r="L590" t="str">
        <f ca="1">IFERROR(_xludf.XLOOKUP(C590,CodePath_Defaults!A:A,CodePath_Defaults!D:D,""),IFERROR(_xludf.XLOOKUP(B590,CodePath_Defaults!B:B,CodePath_Defaults!D:D,""),""))</f>
        <v/>
      </c>
      <c r="T590" t="s">
        <v>801</v>
      </c>
    </row>
    <row r="591" spans="12:20" x14ac:dyDescent="0.35">
      <c r="L591" t="str">
        <f ca="1">IFERROR(_xludf.XLOOKUP(C591,CodePath_Defaults!A:A,CodePath_Defaults!D:D,""),IFERROR(_xludf.XLOOKUP(B591,CodePath_Defaults!B:B,CodePath_Defaults!D:D,""),""))</f>
        <v/>
      </c>
      <c r="T591" t="s">
        <v>801</v>
      </c>
    </row>
    <row r="592" spans="12:20" x14ac:dyDescent="0.35">
      <c r="L592" t="str">
        <f ca="1">IFERROR(_xludf.XLOOKUP(C592,CodePath_Defaults!A:A,CodePath_Defaults!D:D,""),IFERROR(_xludf.XLOOKUP(B592,CodePath_Defaults!B:B,CodePath_Defaults!D:D,""),""))</f>
        <v/>
      </c>
      <c r="T592" t="s">
        <v>801</v>
      </c>
    </row>
    <row r="593" spans="12:20" x14ac:dyDescent="0.35">
      <c r="L593" t="str">
        <f ca="1">IFERROR(_xludf.XLOOKUP(C593,CodePath_Defaults!A:A,CodePath_Defaults!D:D,""),IFERROR(_xludf.XLOOKUP(B593,CodePath_Defaults!B:B,CodePath_Defaults!D:D,""),""))</f>
        <v/>
      </c>
      <c r="T593" t="s">
        <v>801</v>
      </c>
    </row>
    <row r="594" spans="12:20" x14ac:dyDescent="0.35">
      <c r="L594" t="str">
        <f ca="1">IFERROR(_xludf.XLOOKUP(C594,CodePath_Defaults!A:A,CodePath_Defaults!D:D,""),IFERROR(_xludf.XLOOKUP(B594,CodePath_Defaults!B:B,CodePath_Defaults!D:D,""),""))</f>
        <v/>
      </c>
      <c r="T594" t="s">
        <v>801</v>
      </c>
    </row>
    <row r="595" spans="12:20" x14ac:dyDescent="0.35">
      <c r="L595" t="str">
        <f ca="1">IFERROR(_xludf.XLOOKUP(C595,CodePath_Defaults!A:A,CodePath_Defaults!D:D,""),IFERROR(_xludf.XLOOKUP(B595,CodePath_Defaults!B:B,CodePath_Defaults!D:D,""),""))</f>
        <v/>
      </c>
      <c r="T595" t="s">
        <v>801</v>
      </c>
    </row>
    <row r="596" spans="12:20" x14ac:dyDescent="0.35">
      <c r="L596" t="str">
        <f ca="1">IFERROR(_xludf.XLOOKUP(C596,CodePath_Defaults!A:A,CodePath_Defaults!D:D,""),IFERROR(_xludf.XLOOKUP(B596,CodePath_Defaults!B:B,CodePath_Defaults!D:D,""),""))</f>
        <v/>
      </c>
      <c r="T596" t="s">
        <v>801</v>
      </c>
    </row>
    <row r="597" spans="12:20" x14ac:dyDescent="0.35">
      <c r="L597" t="str">
        <f ca="1">IFERROR(_xludf.XLOOKUP(C597,CodePath_Defaults!A:A,CodePath_Defaults!D:D,""),IFERROR(_xludf.XLOOKUP(B597,CodePath_Defaults!B:B,CodePath_Defaults!D:D,""),""))</f>
        <v/>
      </c>
      <c r="T597" t="s">
        <v>801</v>
      </c>
    </row>
    <row r="598" spans="12:20" x14ac:dyDescent="0.35">
      <c r="L598" t="str">
        <f ca="1">IFERROR(_xludf.XLOOKUP(C598,CodePath_Defaults!A:A,CodePath_Defaults!D:D,""),IFERROR(_xludf.XLOOKUP(B598,CodePath_Defaults!B:B,CodePath_Defaults!D:D,""),""))</f>
        <v/>
      </c>
      <c r="T598" t="s">
        <v>801</v>
      </c>
    </row>
    <row r="599" spans="12:20" x14ac:dyDescent="0.35">
      <c r="L599" t="str">
        <f ca="1">IFERROR(_xludf.XLOOKUP(C599,CodePath_Defaults!A:A,CodePath_Defaults!D:D,""),IFERROR(_xludf.XLOOKUP(B599,CodePath_Defaults!B:B,CodePath_Defaults!D:D,""),""))</f>
        <v/>
      </c>
      <c r="T599" t="s">
        <v>801</v>
      </c>
    </row>
    <row r="600" spans="12:20" x14ac:dyDescent="0.35">
      <c r="L600" t="str">
        <f ca="1">IFERROR(_xludf.XLOOKUP(C600,CodePath_Defaults!A:A,CodePath_Defaults!D:D,""),IFERROR(_xludf.XLOOKUP(B600,CodePath_Defaults!B:B,CodePath_Defaults!D:D,""),""))</f>
        <v/>
      </c>
      <c r="T600" t="s">
        <v>801</v>
      </c>
    </row>
    <row r="601" spans="12:20" x14ac:dyDescent="0.35">
      <c r="L601" t="str">
        <f ca="1">IFERROR(_xludf.XLOOKUP(C601,CodePath_Defaults!A:A,CodePath_Defaults!D:D,""),IFERROR(_xludf.XLOOKUP(B601,CodePath_Defaults!B:B,CodePath_Defaults!D:D,""),""))</f>
        <v/>
      </c>
      <c r="T601" t="s">
        <v>801</v>
      </c>
    </row>
    <row r="602" spans="12:20" x14ac:dyDescent="0.35">
      <c r="L602" t="str">
        <f ca="1">IFERROR(_xludf.XLOOKUP(C602,CodePath_Defaults!A:A,CodePath_Defaults!D:D,""),IFERROR(_xludf.XLOOKUP(B602,CodePath_Defaults!B:B,CodePath_Defaults!D:D,""),""))</f>
        <v/>
      </c>
      <c r="T602" t="s">
        <v>801</v>
      </c>
    </row>
    <row r="603" spans="12:20" x14ac:dyDescent="0.35">
      <c r="L603" t="str">
        <f ca="1">IFERROR(_xludf.XLOOKUP(C603,CodePath_Defaults!A:A,CodePath_Defaults!D:D,""),IFERROR(_xludf.XLOOKUP(B603,CodePath_Defaults!B:B,CodePath_Defaults!D:D,""),""))</f>
        <v/>
      </c>
      <c r="T603" t="s">
        <v>801</v>
      </c>
    </row>
    <row r="604" spans="12:20" x14ac:dyDescent="0.35">
      <c r="L604" t="str">
        <f ca="1">IFERROR(_xludf.XLOOKUP(C604,CodePath_Defaults!A:A,CodePath_Defaults!D:D,""),IFERROR(_xludf.XLOOKUP(B604,CodePath_Defaults!B:B,CodePath_Defaults!D:D,""),""))</f>
        <v/>
      </c>
      <c r="T604" t="s">
        <v>801</v>
      </c>
    </row>
    <row r="605" spans="12:20" x14ac:dyDescent="0.35">
      <c r="L605" t="str">
        <f ca="1">IFERROR(_xludf.XLOOKUP(C605,CodePath_Defaults!A:A,CodePath_Defaults!D:D,""),IFERROR(_xludf.XLOOKUP(B605,CodePath_Defaults!B:B,CodePath_Defaults!D:D,""),""))</f>
        <v/>
      </c>
      <c r="T605" t="s">
        <v>801</v>
      </c>
    </row>
    <row r="606" spans="12:20" x14ac:dyDescent="0.35">
      <c r="L606" t="str">
        <f ca="1">IFERROR(_xludf.XLOOKUP(C606,CodePath_Defaults!A:A,CodePath_Defaults!D:D,""),IFERROR(_xludf.XLOOKUP(B606,CodePath_Defaults!B:B,CodePath_Defaults!D:D,""),""))</f>
        <v/>
      </c>
      <c r="T606" t="s">
        <v>801</v>
      </c>
    </row>
    <row r="607" spans="12:20" x14ac:dyDescent="0.35">
      <c r="L607" t="str">
        <f ca="1">IFERROR(_xludf.XLOOKUP(C607,CodePath_Defaults!A:A,CodePath_Defaults!D:D,""),IFERROR(_xludf.XLOOKUP(B607,CodePath_Defaults!B:B,CodePath_Defaults!D:D,""),""))</f>
        <v/>
      </c>
      <c r="T607" t="s">
        <v>801</v>
      </c>
    </row>
    <row r="608" spans="12:20" x14ac:dyDescent="0.35">
      <c r="L608" t="str">
        <f ca="1">IFERROR(_xludf.XLOOKUP(C608,CodePath_Defaults!A:A,CodePath_Defaults!D:D,""),IFERROR(_xludf.XLOOKUP(B608,CodePath_Defaults!B:B,CodePath_Defaults!D:D,""),""))</f>
        <v/>
      </c>
      <c r="T608" t="s">
        <v>801</v>
      </c>
    </row>
    <row r="609" spans="12:20" x14ac:dyDescent="0.35">
      <c r="L609" t="str">
        <f ca="1">IFERROR(_xludf.XLOOKUP(C609,CodePath_Defaults!A:A,CodePath_Defaults!D:D,""),IFERROR(_xludf.XLOOKUP(B609,CodePath_Defaults!B:B,CodePath_Defaults!D:D,""),""))</f>
        <v/>
      </c>
      <c r="T609" t="s">
        <v>801</v>
      </c>
    </row>
    <row r="610" spans="12:20" x14ac:dyDescent="0.35">
      <c r="L610" t="str">
        <f ca="1">IFERROR(_xludf.XLOOKUP(C610,CodePath_Defaults!A:A,CodePath_Defaults!D:D,""),IFERROR(_xludf.XLOOKUP(B610,CodePath_Defaults!B:B,CodePath_Defaults!D:D,""),""))</f>
        <v/>
      </c>
      <c r="T610" t="s">
        <v>801</v>
      </c>
    </row>
    <row r="611" spans="12:20" x14ac:dyDescent="0.35">
      <c r="L611" t="str">
        <f ca="1">IFERROR(_xludf.XLOOKUP(C611,CodePath_Defaults!A:A,CodePath_Defaults!D:D,""),IFERROR(_xludf.XLOOKUP(B611,CodePath_Defaults!B:B,CodePath_Defaults!D:D,""),""))</f>
        <v/>
      </c>
      <c r="T611" t="s">
        <v>801</v>
      </c>
    </row>
    <row r="612" spans="12:20" x14ac:dyDescent="0.35">
      <c r="L612" t="str">
        <f ca="1">IFERROR(_xludf.XLOOKUP(C612,CodePath_Defaults!A:A,CodePath_Defaults!D:D,""),IFERROR(_xludf.XLOOKUP(B612,CodePath_Defaults!B:B,CodePath_Defaults!D:D,""),""))</f>
        <v/>
      </c>
      <c r="T612" t="s">
        <v>801</v>
      </c>
    </row>
    <row r="613" spans="12:20" x14ac:dyDescent="0.35">
      <c r="L613" t="str">
        <f ca="1">IFERROR(_xludf.XLOOKUP(C613,CodePath_Defaults!A:A,CodePath_Defaults!D:D,""),IFERROR(_xludf.XLOOKUP(B613,CodePath_Defaults!B:B,CodePath_Defaults!D:D,""),""))</f>
        <v/>
      </c>
      <c r="T613" t="s">
        <v>801</v>
      </c>
    </row>
    <row r="614" spans="12:20" x14ac:dyDescent="0.35">
      <c r="L614" t="str">
        <f ca="1">IFERROR(_xludf.XLOOKUP(C614,CodePath_Defaults!A:A,CodePath_Defaults!D:D,""),IFERROR(_xludf.XLOOKUP(B614,CodePath_Defaults!B:B,CodePath_Defaults!D:D,""),""))</f>
        <v/>
      </c>
      <c r="T614" t="s">
        <v>801</v>
      </c>
    </row>
    <row r="615" spans="12:20" x14ac:dyDescent="0.35">
      <c r="L615" t="str">
        <f ca="1">IFERROR(_xludf.XLOOKUP(C615,CodePath_Defaults!A:A,CodePath_Defaults!D:D,""),IFERROR(_xludf.XLOOKUP(B615,CodePath_Defaults!B:B,CodePath_Defaults!D:D,""),""))</f>
        <v/>
      </c>
      <c r="T615" t="s">
        <v>801</v>
      </c>
    </row>
    <row r="616" spans="12:20" x14ac:dyDescent="0.35">
      <c r="L616" t="str">
        <f ca="1">IFERROR(_xludf.XLOOKUP(C616,CodePath_Defaults!A:A,CodePath_Defaults!D:D,""),IFERROR(_xludf.XLOOKUP(B616,CodePath_Defaults!B:B,CodePath_Defaults!D:D,""),""))</f>
        <v/>
      </c>
      <c r="T616" t="s">
        <v>801</v>
      </c>
    </row>
    <row r="617" spans="12:20" x14ac:dyDescent="0.35">
      <c r="L617" t="str">
        <f ca="1">IFERROR(_xludf.XLOOKUP(C617,CodePath_Defaults!A:A,CodePath_Defaults!D:D,""),IFERROR(_xludf.XLOOKUP(B617,CodePath_Defaults!B:B,CodePath_Defaults!D:D,""),""))</f>
        <v/>
      </c>
      <c r="T617" t="s">
        <v>801</v>
      </c>
    </row>
    <row r="618" spans="12:20" x14ac:dyDescent="0.35">
      <c r="L618" t="str">
        <f ca="1">IFERROR(_xludf.XLOOKUP(C618,CodePath_Defaults!A:A,CodePath_Defaults!D:D,""),IFERROR(_xludf.XLOOKUP(B618,CodePath_Defaults!B:B,CodePath_Defaults!D:D,""),""))</f>
        <v/>
      </c>
      <c r="T618" t="s">
        <v>801</v>
      </c>
    </row>
    <row r="619" spans="12:20" x14ac:dyDescent="0.35">
      <c r="L619" t="str">
        <f ca="1">IFERROR(_xludf.XLOOKUP(C619,CodePath_Defaults!A:A,CodePath_Defaults!D:D,""),IFERROR(_xludf.XLOOKUP(B619,CodePath_Defaults!B:B,CodePath_Defaults!D:D,""),""))</f>
        <v/>
      </c>
      <c r="T619" t="s">
        <v>801</v>
      </c>
    </row>
    <row r="620" spans="12:20" x14ac:dyDescent="0.35">
      <c r="L620" t="str">
        <f ca="1">IFERROR(_xludf.XLOOKUP(C620,CodePath_Defaults!A:A,CodePath_Defaults!D:D,""),IFERROR(_xludf.XLOOKUP(B620,CodePath_Defaults!B:B,CodePath_Defaults!D:D,""),""))</f>
        <v/>
      </c>
      <c r="T620" t="s">
        <v>801</v>
      </c>
    </row>
    <row r="621" spans="12:20" x14ac:dyDescent="0.35">
      <c r="L621" t="str">
        <f ca="1">IFERROR(_xludf.XLOOKUP(C621,CodePath_Defaults!A:A,CodePath_Defaults!D:D,""),IFERROR(_xludf.XLOOKUP(B621,CodePath_Defaults!B:B,CodePath_Defaults!D:D,""),""))</f>
        <v/>
      </c>
      <c r="T621" t="s">
        <v>801</v>
      </c>
    </row>
    <row r="622" spans="12:20" x14ac:dyDescent="0.35">
      <c r="L622" t="str">
        <f ca="1">IFERROR(_xludf.XLOOKUP(C622,CodePath_Defaults!A:A,CodePath_Defaults!D:D,""),IFERROR(_xludf.XLOOKUP(B622,CodePath_Defaults!B:B,CodePath_Defaults!D:D,""),""))</f>
        <v/>
      </c>
      <c r="T622" t="s">
        <v>801</v>
      </c>
    </row>
    <row r="623" spans="12:20" x14ac:dyDescent="0.35">
      <c r="L623" t="str">
        <f ca="1">IFERROR(_xludf.XLOOKUP(C623,CodePath_Defaults!A:A,CodePath_Defaults!D:D,""),IFERROR(_xludf.XLOOKUP(B623,CodePath_Defaults!B:B,CodePath_Defaults!D:D,""),""))</f>
        <v/>
      </c>
      <c r="T623" t="s">
        <v>801</v>
      </c>
    </row>
    <row r="624" spans="12:20" x14ac:dyDescent="0.35">
      <c r="L624" t="str">
        <f ca="1">IFERROR(_xludf.XLOOKUP(C624,CodePath_Defaults!A:A,CodePath_Defaults!D:D,""),IFERROR(_xludf.XLOOKUP(B624,CodePath_Defaults!B:B,CodePath_Defaults!D:D,""),""))</f>
        <v/>
      </c>
      <c r="T624" t="s">
        <v>801</v>
      </c>
    </row>
    <row r="625" spans="12:20" x14ac:dyDescent="0.35">
      <c r="L625" t="str">
        <f ca="1">IFERROR(_xludf.XLOOKUP(C625,CodePath_Defaults!A:A,CodePath_Defaults!D:D,""),IFERROR(_xludf.XLOOKUP(B625,CodePath_Defaults!B:B,CodePath_Defaults!D:D,""),""))</f>
        <v/>
      </c>
      <c r="T625" t="s">
        <v>801</v>
      </c>
    </row>
    <row r="626" spans="12:20" x14ac:dyDescent="0.35">
      <c r="L626" t="str">
        <f ca="1">IFERROR(_xludf.XLOOKUP(C626,CodePath_Defaults!A:A,CodePath_Defaults!D:D,""),IFERROR(_xludf.XLOOKUP(B626,CodePath_Defaults!B:B,CodePath_Defaults!D:D,""),""))</f>
        <v/>
      </c>
      <c r="T626" t="s">
        <v>801</v>
      </c>
    </row>
    <row r="627" spans="12:20" x14ac:dyDescent="0.35">
      <c r="L627" t="str">
        <f ca="1">IFERROR(_xludf.XLOOKUP(C627,CodePath_Defaults!A:A,CodePath_Defaults!D:D,""),IFERROR(_xludf.XLOOKUP(B627,CodePath_Defaults!B:B,CodePath_Defaults!D:D,""),""))</f>
        <v/>
      </c>
      <c r="T627" t="s">
        <v>801</v>
      </c>
    </row>
    <row r="628" spans="12:20" x14ac:dyDescent="0.35">
      <c r="L628" t="str">
        <f ca="1">IFERROR(_xludf.XLOOKUP(C628,CodePath_Defaults!A:A,CodePath_Defaults!D:D,""),IFERROR(_xludf.XLOOKUP(B628,CodePath_Defaults!B:B,CodePath_Defaults!D:D,""),""))</f>
        <v/>
      </c>
      <c r="T628" t="s">
        <v>801</v>
      </c>
    </row>
    <row r="629" spans="12:20" x14ac:dyDescent="0.35">
      <c r="L629" t="str">
        <f ca="1">IFERROR(_xludf.XLOOKUP(C629,CodePath_Defaults!A:A,CodePath_Defaults!D:D,""),IFERROR(_xludf.XLOOKUP(B629,CodePath_Defaults!B:B,CodePath_Defaults!D:D,""),""))</f>
        <v/>
      </c>
      <c r="T629" t="s">
        <v>801</v>
      </c>
    </row>
    <row r="630" spans="12:20" x14ac:dyDescent="0.35">
      <c r="L630" t="str">
        <f ca="1">IFERROR(_xludf.XLOOKUP(C630,CodePath_Defaults!A:A,CodePath_Defaults!D:D,""),IFERROR(_xludf.XLOOKUP(B630,CodePath_Defaults!B:B,CodePath_Defaults!D:D,""),""))</f>
        <v/>
      </c>
      <c r="T630" t="s">
        <v>801</v>
      </c>
    </row>
    <row r="631" spans="12:20" x14ac:dyDescent="0.35">
      <c r="L631" t="str">
        <f ca="1">IFERROR(_xludf.XLOOKUP(C631,CodePath_Defaults!A:A,CodePath_Defaults!D:D,""),IFERROR(_xludf.XLOOKUP(B631,CodePath_Defaults!B:B,CodePath_Defaults!D:D,""),""))</f>
        <v/>
      </c>
      <c r="T631" t="s">
        <v>801</v>
      </c>
    </row>
    <row r="632" spans="12:20" x14ac:dyDescent="0.35">
      <c r="L632" t="str">
        <f ca="1">IFERROR(_xludf.XLOOKUP(C632,CodePath_Defaults!A:A,CodePath_Defaults!D:D,""),IFERROR(_xludf.XLOOKUP(B632,CodePath_Defaults!B:B,CodePath_Defaults!D:D,""),""))</f>
        <v/>
      </c>
      <c r="T632" t="s">
        <v>801</v>
      </c>
    </row>
    <row r="633" spans="12:20" x14ac:dyDescent="0.35">
      <c r="L633" t="str">
        <f ca="1">IFERROR(_xludf.XLOOKUP(C633,CodePath_Defaults!A:A,CodePath_Defaults!D:D,""),IFERROR(_xludf.XLOOKUP(B633,CodePath_Defaults!B:B,CodePath_Defaults!D:D,""),""))</f>
        <v/>
      </c>
      <c r="T633" t="s">
        <v>801</v>
      </c>
    </row>
    <row r="634" spans="12:20" x14ac:dyDescent="0.35">
      <c r="L634" t="str">
        <f ca="1">IFERROR(_xludf.XLOOKUP(C634,CodePath_Defaults!A:A,CodePath_Defaults!D:D,""),IFERROR(_xludf.XLOOKUP(B634,CodePath_Defaults!B:B,CodePath_Defaults!D:D,""),""))</f>
        <v/>
      </c>
      <c r="T634" t="s">
        <v>801</v>
      </c>
    </row>
    <row r="635" spans="12:20" x14ac:dyDescent="0.35">
      <c r="L635" t="str">
        <f ca="1">IFERROR(_xludf.XLOOKUP(C635,CodePath_Defaults!A:A,CodePath_Defaults!D:D,""),IFERROR(_xludf.XLOOKUP(B635,CodePath_Defaults!B:B,CodePath_Defaults!D:D,""),""))</f>
        <v/>
      </c>
      <c r="T635" t="s">
        <v>801</v>
      </c>
    </row>
    <row r="636" spans="12:20" x14ac:dyDescent="0.35">
      <c r="L636" t="str">
        <f ca="1">IFERROR(_xludf.XLOOKUP(C636,CodePath_Defaults!A:A,CodePath_Defaults!D:D,""),IFERROR(_xludf.XLOOKUP(B636,CodePath_Defaults!B:B,CodePath_Defaults!D:D,""),""))</f>
        <v/>
      </c>
      <c r="T636" t="s">
        <v>801</v>
      </c>
    </row>
    <row r="637" spans="12:20" x14ac:dyDescent="0.35">
      <c r="L637" t="str">
        <f ca="1">IFERROR(_xludf.XLOOKUP(C637,CodePath_Defaults!A:A,CodePath_Defaults!D:D,""),IFERROR(_xludf.XLOOKUP(B637,CodePath_Defaults!B:B,CodePath_Defaults!D:D,""),""))</f>
        <v/>
      </c>
      <c r="T637" t="s">
        <v>801</v>
      </c>
    </row>
    <row r="638" spans="12:20" x14ac:dyDescent="0.35">
      <c r="L638" t="str">
        <f ca="1">IFERROR(_xludf.XLOOKUP(C638,CodePath_Defaults!A:A,CodePath_Defaults!D:D,""),IFERROR(_xludf.XLOOKUP(B638,CodePath_Defaults!B:B,CodePath_Defaults!D:D,""),""))</f>
        <v/>
      </c>
      <c r="T638" t="s">
        <v>801</v>
      </c>
    </row>
    <row r="639" spans="12:20" x14ac:dyDescent="0.35">
      <c r="L639" t="str">
        <f ca="1">IFERROR(_xludf.XLOOKUP(C639,CodePath_Defaults!A:A,CodePath_Defaults!D:D,""),IFERROR(_xludf.XLOOKUP(B639,CodePath_Defaults!B:B,CodePath_Defaults!D:D,""),""))</f>
        <v/>
      </c>
      <c r="T639" t="s">
        <v>801</v>
      </c>
    </row>
    <row r="640" spans="12:20" x14ac:dyDescent="0.35">
      <c r="L640" t="str">
        <f ca="1">IFERROR(_xludf.XLOOKUP(C640,CodePath_Defaults!A:A,CodePath_Defaults!D:D,""),IFERROR(_xludf.XLOOKUP(B640,CodePath_Defaults!B:B,CodePath_Defaults!D:D,""),""))</f>
        <v/>
      </c>
      <c r="T640" t="s">
        <v>801</v>
      </c>
    </row>
    <row r="641" spans="12:20" x14ac:dyDescent="0.35">
      <c r="L641" t="str">
        <f ca="1">IFERROR(_xludf.XLOOKUP(C641,CodePath_Defaults!A:A,CodePath_Defaults!D:D,""),IFERROR(_xludf.XLOOKUP(B641,CodePath_Defaults!B:B,CodePath_Defaults!D:D,""),""))</f>
        <v/>
      </c>
      <c r="T641" t="s">
        <v>801</v>
      </c>
    </row>
    <row r="642" spans="12:20" x14ac:dyDescent="0.35">
      <c r="L642" t="str">
        <f ca="1">IFERROR(_xludf.XLOOKUP(C642,CodePath_Defaults!A:A,CodePath_Defaults!D:D,""),IFERROR(_xludf.XLOOKUP(B642,CodePath_Defaults!B:B,CodePath_Defaults!D:D,""),""))</f>
        <v/>
      </c>
      <c r="T642" t="s">
        <v>801</v>
      </c>
    </row>
    <row r="643" spans="12:20" x14ac:dyDescent="0.35">
      <c r="L643" t="str">
        <f ca="1">IFERROR(_xludf.XLOOKUP(C643,CodePath_Defaults!A:A,CodePath_Defaults!D:D,""),IFERROR(_xludf.XLOOKUP(B643,CodePath_Defaults!B:B,CodePath_Defaults!D:D,""),""))</f>
        <v/>
      </c>
      <c r="T643" t="s">
        <v>801</v>
      </c>
    </row>
    <row r="644" spans="12:20" x14ac:dyDescent="0.35">
      <c r="L644" t="str">
        <f ca="1">IFERROR(_xludf.XLOOKUP(C644,CodePath_Defaults!A:A,CodePath_Defaults!D:D,""),IFERROR(_xludf.XLOOKUP(B644,CodePath_Defaults!B:B,CodePath_Defaults!D:D,""),""))</f>
        <v/>
      </c>
      <c r="T644" t="s">
        <v>801</v>
      </c>
    </row>
    <row r="645" spans="12:20" x14ac:dyDescent="0.35">
      <c r="L645" t="str">
        <f ca="1">IFERROR(_xludf.XLOOKUP(C645,CodePath_Defaults!A:A,CodePath_Defaults!D:D,""),IFERROR(_xludf.XLOOKUP(B645,CodePath_Defaults!B:B,CodePath_Defaults!D:D,""),""))</f>
        <v/>
      </c>
      <c r="T645" t="s">
        <v>801</v>
      </c>
    </row>
    <row r="646" spans="12:20" x14ac:dyDescent="0.35">
      <c r="L646" t="str">
        <f ca="1">IFERROR(_xludf.XLOOKUP(C646,CodePath_Defaults!A:A,CodePath_Defaults!D:D,""),IFERROR(_xludf.XLOOKUP(B646,CodePath_Defaults!B:B,CodePath_Defaults!D:D,""),""))</f>
        <v/>
      </c>
      <c r="T646" t="s">
        <v>801</v>
      </c>
    </row>
    <row r="647" spans="12:20" x14ac:dyDescent="0.35">
      <c r="L647" t="str">
        <f ca="1">IFERROR(_xludf.XLOOKUP(C647,CodePath_Defaults!A:A,CodePath_Defaults!D:D,""),IFERROR(_xludf.XLOOKUP(B647,CodePath_Defaults!B:B,CodePath_Defaults!D:D,""),""))</f>
        <v/>
      </c>
      <c r="T647" t="s">
        <v>801</v>
      </c>
    </row>
    <row r="648" spans="12:20" x14ac:dyDescent="0.35">
      <c r="L648" t="str">
        <f ca="1">IFERROR(_xludf.XLOOKUP(C648,CodePath_Defaults!A:A,CodePath_Defaults!D:D,""),IFERROR(_xludf.XLOOKUP(B648,CodePath_Defaults!B:B,CodePath_Defaults!D:D,""),""))</f>
        <v/>
      </c>
      <c r="T648" t="s">
        <v>801</v>
      </c>
    </row>
    <row r="649" spans="12:20" x14ac:dyDescent="0.35">
      <c r="L649" t="str">
        <f ca="1">IFERROR(_xludf.XLOOKUP(C649,CodePath_Defaults!A:A,CodePath_Defaults!D:D,""),IFERROR(_xludf.XLOOKUP(B649,CodePath_Defaults!B:B,CodePath_Defaults!D:D,""),""))</f>
        <v/>
      </c>
      <c r="T649" t="s">
        <v>801</v>
      </c>
    </row>
    <row r="650" spans="12:20" x14ac:dyDescent="0.35">
      <c r="L650" t="str">
        <f ca="1">IFERROR(_xludf.XLOOKUP(C650,CodePath_Defaults!A:A,CodePath_Defaults!D:D,""),IFERROR(_xludf.XLOOKUP(B650,CodePath_Defaults!B:B,CodePath_Defaults!D:D,""),""))</f>
        <v/>
      </c>
      <c r="T650" t="s">
        <v>801</v>
      </c>
    </row>
    <row r="651" spans="12:20" x14ac:dyDescent="0.35">
      <c r="L651" t="str">
        <f ca="1">IFERROR(_xludf.XLOOKUP(C651,CodePath_Defaults!A:A,CodePath_Defaults!D:D,""),IFERROR(_xludf.XLOOKUP(B651,CodePath_Defaults!B:B,CodePath_Defaults!D:D,""),""))</f>
        <v/>
      </c>
      <c r="T651" t="s">
        <v>801</v>
      </c>
    </row>
    <row r="652" spans="12:20" x14ac:dyDescent="0.35">
      <c r="L652" t="str">
        <f ca="1">IFERROR(_xludf.XLOOKUP(C652,CodePath_Defaults!A:A,CodePath_Defaults!D:D,""),IFERROR(_xludf.XLOOKUP(B652,CodePath_Defaults!B:B,CodePath_Defaults!D:D,""),""))</f>
        <v/>
      </c>
      <c r="T652" t="s">
        <v>801</v>
      </c>
    </row>
    <row r="653" spans="12:20" x14ac:dyDescent="0.35">
      <c r="L653" t="str">
        <f ca="1">IFERROR(_xludf.XLOOKUP(C653,CodePath_Defaults!A:A,CodePath_Defaults!D:D,""),IFERROR(_xludf.XLOOKUP(B653,CodePath_Defaults!B:B,CodePath_Defaults!D:D,""),""))</f>
        <v/>
      </c>
      <c r="T653" t="s">
        <v>801</v>
      </c>
    </row>
    <row r="654" spans="12:20" x14ac:dyDescent="0.35">
      <c r="L654" t="str">
        <f ca="1">IFERROR(_xludf.XLOOKUP(C654,CodePath_Defaults!A:A,CodePath_Defaults!D:D,""),IFERROR(_xludf.XLOOKUP(B654,CodePath_Defaults!B:B,CodePath_Defaults!D:D,""),""))</f>
        <v/>
      </c>
      <c r="T654" t="s">
        <v>801</v>
      </c>
    </row>
    <row r="655" spans="12:20" x14ac:dyDescent="0.35">
      <c r="L655" t="str">
        <f ca="1">IFERROR(_xludf.XLOOKUP(C655,CodePath_Defaults!A:A,CodePath_Defaults!D:D,""),IFERROR(_xludf.XLOOKUP(B655,CodePath_Defaults!B:B,CodePath_Defaults!D:D,""),""))</f>
        <v/>
      </c>
      <c r="T655" t="s">
        <v>801</v>
      </c>
    </row>
    <row r="656" spans="12:20" x14ac:dyDescent="0.35">
      <c r="L656" t="str">
        <f ca="1">IFERROR(_xludf.XLOOKUP(C656,CodePath_Defaults!A:A,CodePath_Defaults!D:D,""),IFERROR(_xludf.XLOOKUP(B656,CodePath_Defaults!B:B,CodePath_Defaults!D:D,""),""))</f>
        <v/>
      </c>
      <c r="T656" t="s">
        <v>801</v>
      </c>
    </row>
    <row r="657" spans="12:20" x14ac:dyDescent="0.35">
      <c r="L657" t="str">
        <f ca="1">IFERROR(_xludf.XLOOKUP(C657,CodePath_Defaults!A:A,CodePath_Defaults!D:D,""),IFERROR(_xludf.XLOOKUP(B657,CodePath_Defaults!B:B,CodePath_Defaults!D:D,""),""))</f>
        <v/>
      </c>
      <c r="T657" t="s">
        <v>801</v>
      </c>
    </row>
    <row r="658" spans="12:20" x14ac:dyDescent="0.35">
      <c r="L658" t="str">
        <f ca="1">IFERROR(_xludf.XLOOKUP(C658,CodePath_Defaults!A:A,CodePath_Defaults!D:D,""),IFERROR(_xludf.XLOOKUP(B658,CodePath_Defaults!B:B,CodePath_Defaults!D:D,""),""))</f>
        <v/>
      </c>
      <c r="T658" t="s">
        <v>801</v>
      </c>
    </row>
    <row r="659" spans="12:20" x14ac:dyDescent="0.35">
      <c r="L659" t="str">
        <f ca="1">IFERROR(_xludf.XLOOKUP(C659,CodePath_Defaults!A:A,CodePath_Defaults!D:D,""),IFERROR(_xludf.XLOOKUP(B659,CodePath_Defaults!B:B,CodePath_Defaults!D:D,""),""))</f>
        <v/>
      </c>
      <c r="T659" t="s">
        <v>801</v>
      </c>
    </row>
    <row r="660" spans="12:20" x14ac:dyDescent="0.35">
      <c r="L660" t="str">
        <f ca="1">IFERROR(_xludf.XLOOKUP(C660,CodePath_Defaults!A:A,CodePath_Defaults!D:D,""),IFERROR(_xludf.XLOOKUP(B660,CodePath_Defaults!B:B,CodePath_Defaults!D:D,""),""))</f>
        <v/>
      </c>
      <c r="T660" t="s">
        <v>801</v>
      </c>
    </row>
    <row r="661" spans="12:20" x14ac:dyDescent="0.35">
      <c r="L661" t="str">
        <f ca="1">IFERROR(_xludf.XLOOKUP(C661,CodePath_Defaults!A:A,CodePath_Defaults!D:D,""),IFERROR(_xludf.XLOOKUP(B661,CodePath_Defaults!B:B,CodePath_Defaults!D:D,""),""))</f>
        <v/>
      </c>
      <c r="T661" t="s">
        <v>801</v>
      </c>
    </row>
    <row r="662" spans="12:20" x14ac:dyDescent="0.35">
      <c r="L662" t="str">
        <f ca="1">IFERROR(_xludf.XLOOKUP(C662,CodePath_Defaults!A:A,CodePath_Defaults!D:D,""),IFERROR(_xludf.XLOOKUP(B662,CodePath_Defaults!B:B,CodePath_Defaults!D:D,""),""))</f>
        <v/>
      </c>
      <c r="T662" t="s">
        <v>801</v>
      </c>
    </row>
    <row r="663" spans="12:20" x14ac:dyDescent="0.35">
      <c r="L663" t="str">
        <f ca="1">IFERROR(_xludf.XLOOKUP(C663,CodePath_Defaults!A:A,CodePath_Defaults!D:D,""),IFERROR(_xludf.XLOOKUP(B663,CodePath_Defaults!B:B,CodePath_Defaults!D:D,""),""))</f>
        <v/>
      </c>
      <c r="T663" t="s">
        <v>801</v>
      </c>
    </row>
    <row r="664" spans="12:20" x14ac:dyDescent="0.35">
      <c r="L664" t="str">
        <f ca="1">IFERROR(_xludf.XLOOKUP(C664,CodePath_Defaults!A:A,CodePath_Defaults!D:D,""),IFERROR(_xludf.XLOOKUP(B664,CodePath_Defaults!B:B,CodePath_Defaults!D:D,""),""))</f>
        <v/>
      </c>
      <c r="T664" t="s">
        <v>801</v>
      </c>
    </row>
    <row r="665" spans="12:20" x14ac:dyDescent="0.35">
      <c r="L665" t="str">
        <f ca="1">IFERROR(_xludf.XLOOKUP(C665,CodePath_Defaults!A:A,CodePath_Defaults!D:D,""),IFERROR(_xludf.XLOOKUP(B665,CodePath_Defaults!B:B,CodePath_Defaults!D:D,""),""))</f>
        <v/>
      </c>
      <c r="T665" t="s">
        <v>801</v>
      </c>
    </row>
    <row r="666" spans="12:20" x14ac:dyDescent="0.35">
      <c r="L666" t="str">
        <f ca="1">IFERROR(_xludf.XLOOKUP(C666,CodePath_Defaults!A:A,CodePath_Defaults!D:D,""),IFERROR(_xludf.XLOOKUP(B666,CodePath_Defaults!B:B,CodePath_Defaults!D:D,""),""))</f>
        <v/>
      </c>
      <c r="T666" t="s">
        <v>801</v>
      </c>
    </row>
    <row r="667" spans="12:20" x14ac:dyDescent="0.35">
      <c r="L667" t="str">
        <f ca="1">IFERROR(_xludf.XLOOKUP(C667,CodePath_Defaults!A:A,CodePath_Defaults!D:D,""),IFERROR(_xludf.XLOOKUP(B667,CodePath_Defaults!B:B,CodePath_Defaults!D:D,""),""))</f>
        <v/>
      </c>
      <c r="T667" t="s">
        <v>801</v>
      </c>
    </row>
    <row r="668" spans="12:20" x14ac:dyDescent="0.35">
      <c r="L668" t="str">
        <f ca="1">IFERROR(_xludf.XLOOKUP(C668,CodePath_Defaults!A:A,CodePath_Defaults!D:D,""),IFERROR(_xludf.XLOOKUP(B668,CodePath_Defaults!B:B,CodePath_Defaults!D:D,""),""))</f>
        <v/>
      </c>
      <c r="T668" t="s">
        <v>801</v>
      </c>
    </row>
    <row r="669" spans="12:20" x14ac:dyDescent="0.35">
      <c r="L669" t="str">
        <f ca="1">IFERROR(_xludf.XLOOKUP(C669,CodePath_Defaults!A:A,CodePath_Defaults!D:D,""),IFERROR(_xludf.XLOOKUP(B669,CodePath_Defaults!B:B,CodePath_Defaults!D:D,""),""))</f>
        <v/>
      </c>
      <c r="T669" t="s">
        <v>801</v>
      </c>
    </row>
    <row r="670" spans="12:20" x14ac:dyDescent="0.35">
      <c r="L670" t="str">
        <f ca="1">IFERROR(_xludf.XLOOKUP(C670,CodePath_Defaults!A:A,CodePath_Defaults!D:D,""),IFERROR(_xludf.XLOOKUP(B670,CodePath_Defaults!B:B,CodePath_Defaults!D:D,""),""))</f>
        <v/>
      </c>
      <c r="T670" t="s">
        <v>801</v>
      </c>
    </row>
    <row r="671" spans="12:20" x14ac:dyDescent="0.35">
      <c r="L671" t="str">
        <f ca="1">IFERROR(_xludf.XLOOKUP(C671,CodePath_Defaults!A:A,CodePath_Defaults!D:D,""),IFERROR(_xludf.XLOOKUP(B671,CodePath_Defaults!B:B,CodePath_Defaults!D:D,""),""))</f>
        <v/>
      </c>
      <c r="T671" t="s">
        <v>801</v>
      </c>
    </row>
    <row r="672" spans="12:20" x14ac:dyDescent="0.35">
      <c r="L672" t="str">
        <f ca="1">IFERROR(_xludf.XLOOKUP(C672,CodePath_Defaults!A:A,CodePath_Defaults!D:D,""),IFERROR(_xludf.XLOOKUP(B672,CodePath_Defaults!B:B,CodePath_Defaults!D:D,""),""))</f>
        <v/>
      </c>
      <c r="T672" t="s">
        <v>801</v>
      </c>
    </row>
    <row r="673" spans="12:20" x14ac:dyDescent="0.35">
      <c r="L673" t="str">
        <f ca="1">IFERROR(_xludf.XLOOKUP(C673,CodePath_Defaults!A:A,CodePath_Defaults!D:D,""),IFERROR(_xludf.XLOOKUP(B673,CodePath_Defaults!B:B,CodePath_Defaults!D:D,""),""))</f>
        <v/>
      </c>
      <c r="T673" t="s">
        <v>801</v>
      </c>
    </row>
    <row r="674" spans="12:20" x14ac:dyDescent="0.35">
      <c r="L674" t="str">
        <f ca="1">IFERROR(_xludf.XLOOKUP(C674,CodePath_Defaults!A:A,CodePath_Defaults!D:D,""),IFERROR(_xludf.XLOOKUP(B674,CodePath_Defaults!B:B,CodePath_Defaults!D:D,""),""))</f>
        <v/>
      </c>
      <c r="T674" t="s">
        <v>801</v>
      </c>
    </row>
    <row r="675" spans="12:20" x14ac:dyDescent="0.35">
      <c r="L675" t="str">
        <f ca="1">IFERROR(_xludf.XLOOKUP(C675,CodePath_Defaults!A:A,CodePath_Defaults!D:D,""),IFERROR(_xludf.XLOOKUP(B675,CodePath_Defaults!B:B,CodePath_Defaults!D:D,""),""))</f>
        <v/>
      </c>
      <c r="T675" t="s">
        <v>801</v>
      </c>
    </row>
    <row r="676" spans="12:20" x14ac:dyDescent="0.35">
      <c r="L676" t="str">
        <f ca="1">IFERROR(_xludf.XLOOKUP(C676,CodePath_Defaults!A:A,CodePath_Defaults!D:D,""),IFERROR(_xludf.XLOOKUP(B676,CodePath_Defaults!B:B,CodePath_Defaults!D:D,""),""))</f>
        <v/>
      </c>
      <c r="T676" t="s">
        <v>801</v>
      </c>
    </row>
    <row r="677" spans="12:20" x14ac:dyDescent="0.35">
      <c r="L677" t="str">
        <f ca="1">IFERROR(_xludf.XLOOKUP(C677,CodePath_Defaults!A:A,CodePath_Defaults!D:D,""),IFERROR(_xludf.XLOOKUP(B677,CodePath_Defaults!B:B,CodePath_Defaults!D:D,""),""))</f>
        <v/>
      </c>
      <c r="T677" t="s">
        <v>801</v>
      </c>
    </row>
    <row r="678" spans="12:20" x14ac:dyDescent="0.35">
      <c r="L678" t="str">
        <f ca="1">IFERROR(_xludf.XLOOKUP(C678,CodePath_Defaults!A:A,CodePath_Defaults!D:D,""),IFERROR(_xludf.XLOOKUP(B678,CodePath_Defaults!B:B,CodePath_Defaults!D:D,""),""))</f>
        <v/>
      </c>
      <c r="T678" t="s">
        <v>801</v>
      </c>
    </row>
    <row r="679" spans="12:20" x14ac:dyDescent="0.35">
      <c r="L679" t="str">
        <f ca="1">IFERROR(_xludf.XLOOKUP(C679,CodePath_Defaults!A:A,CodePath_Defaults!D:D,""),IFERROR(_xludf.XLOOKUP(B679,CodePath_Defaults!B:B,CodePath_Defaults!D:D,""),""))</f>
        <v/>
      </c>
      <c r="T679" t="s">
        <v>801</v>
      </c>
    </row>
    <row r="680" spans="12:20" x14ac:dyDescent="0.35">
      <c r="L680" t="str">
        <f ca="1">IFERROR(_xludf.XLOOKUP(C680,CodePath_Defaults!A:A,CodePath_Defaults!D:D,""),IFERROR(_xludf.XLOOKUP(B680,CodePath_Defaults!B:B,CodePath_Defaults!D:D,""),""))</f>
        <v/>
      </c>
      <c r="T680" t="s">
        <v>801</v>
      </c>
    </row>
    <row r="681" spans="12:20" x14ac:dyDescent="0.35">
      <c r="L681" t="str">
        <f ca="1">IFERROR(_xludf.XLOOKUP(C681,CodePath_Defaults!A:A,CodePath_Defaults!D:D,""),IFERROR(_xludf.XLOOKUP(B681,CodePath_Defaults!B:B,CodePath_Defaults!D:D,""),""))</f>
        <v/>
      </c>
      <c r="T681" t="s">
        <v>801</v>
      </c>
    </row>
    <row r="682" spans="12:20" x14ac:dyDescent="0.35">
      <c r="L682" t="str">
        <f ca="1">IFERROR(_xludf.XLOOKUP(C682,CodePath_Defaults!A:A,CodePath_Defaults!D:D,""),IFERROR(_xludf.XLOOKUP(B682,CodePath_Defaults!B:B,CodePath_Defaults!D:D,""),""))</f>
        <v/>
      </c>
      <c r="T682" t="s">
        <v>801</v>
      </c>
    </row>
    <row r="683" spans="12:20" x14ac:dyDescent="0.35">
      <c r="L683" t="str">
        <f ca="1">IFERROR(_xludf.XLOOKUP(C683,CodePath_Defaults!A:A,CodePath_Defaults!D:D,""),IFERROR(_xludf.XLOOKUP(B683,CodePath_Defaults!B:B,CodePath_Defaults!D:D,""),""))</f>
        <v/>
      </c>
      <c r="T683" t="s">
        <v>801</v>
      </c>
    </row>
    <row r="684" spans="12:20" x14ac:dyDescent="0.35">
      <c r="L684" t="str">
        <f ca="1">IFERROR(_xludf.XLOOKUP(C684,CodePath_Defaults!A:A,CodePath_Defaults!D:D,""),IFERROR(_xludf.XLOOKUP(B684,CodePath_Defaults!B:B,CodePath_Defaults!D:D,""),""))</f>
        <v/>
      </c>
      <c r="T684" t="s">
        <v>801</v>
      </c>
    </row>
    <row r="685" spans="12:20" x14ac:dyDescent="0.35">
      <c r="L685" t="str">
        <f ca="1">IFERROR(_xludf.XLOOKUP(C685,CodePath_Defaults!A:A,CodePath_Defaults!D:D,""),IFERROR(_xludf.XLOOKUP(B685,CodePath_Defaults!B:B,CodePath_Defaults!D:D,""),""))</f>
        <v/>
      </c>
      <c r="T685" t="s">
        <v>801</v>
      </c>
    </row>
    <row r="686" spans="12:20" x14ac:dyDescent="0.35">
      <c r="L686" t="str">
        <f ca="1">IFERROR(_xludf.XLOOKUP(C686,CodePath_Defaults!A:A,CodePath_Defaults!D:D,""),IFERROR(_xludf.XLOOKUP(B686,CodePath_Defaults!B:B,CodePath_Defaults!D:D,""),""))</f>
        <v/>
      </c>
      <c r="T686" t="s">
        <v>801</v>
      </c>
    </row>
    <row r="687" spans="12:20" x14ac:dyDescent="0.35">
      <c r="L687" t="str">
        <f ca="1">IFERROR(_xludf.XLOOKUP(C687,CodePath_Defaults!A:A,CodePath_Defaults!D:D,""),IFERROR(_xludf.XLOOKUP(B687,CodePath_Defaults!B:B,CodePath_Defaults!D:D,""),""))</f>
        <v/>
      </c>
      <c r="T687" t="s">
        <v>801</v>
      </c>
    </row>
    <row r="688" spans="12:20" x14ac:dyDescent="0.35">
      <c r="L688" t="str">
        <f ca="1">IFERROR(_xludf.XLOOKUP(C688,CodePath_Defaults!A:A,CodePath_Defaults!D:D,""),IFERROR(_xludf.XLOOKUP(B688,CodePath_Defaults!B:B,CodePath_Defaults!D:D,""),""))</f>
        <v/>
      </c>
      <c r="T688" t="s">
        <v>801</v>
      </c>
    </row>
    <row r="689" spans="12:20" x14ac:dyDescent="0.35">
      <c r="L689" t="str">
        <f ca="1">IFERROR(_xludf.XLOOKUP(C689,CodePath_Defaults!A:A,CodePath_Defaults!D:D,""),IFERROR(_xludf.XLOOKUP(B689,CodePath_Defaults!B:B,CodePath_Defaults!D:D,""),""))</f>
        <v/>
      </c>
      <c r="T689" t="s">
        <v>801</v>
      </c>
    </row>
    <row r="690" spans="12:20" x14ac:dyDescent="0.35">
      <c r="L690" t="str">
        <f ca="1">IFERROR(_xludf.XLOOKUP(C690,CodePath_Defaults!A:A,CodePath_Defaults!D:D,""),IFERROR(_xludf.XLOOKUP(B690,CodePath_Defaults!B:B,CodePath_Defaults!D:D,""),""))</f>
        <v/>
      </c>
      <c r="T690" t="s">
        <v>801</v>
      </c>
    </row>
    <row r="691" spans="12:20" x14ac:dyDescent="0.35">
      <c r="L691" t="str">
        <f ca="1">IFERROR(_xludf.XLOOKUP(C691,CodePath_Defaults!A:A,CodePath_Defaults!D:D,""),IFERROR(_xludf.XLOOKUP(B691,CodePath_Defaults!B:B,CodePath_Defaults!D:D,""),""))</f>
        <v/>
      </c>
      <c r="T691" t="s">
        <v>801</v>
      </c>
    </row>
    <row r="692" spans="12:20" x14ac:dyDescent="0.35">
      <c r="L692" t="str">
        <f ca="1">IFERROR(_xludf.XLOOKUP(C692,CodePath_Defaults!A:A,CodePath_Defaults!D:D,""),IFERROR(_xludf.XLOOKUP(B692,CodePath_Defaults!B:B,CodePath_Defaults!D:D,""),""))</f>
        <v/>
      </c>
      <c r="T692" t="s">
        <v>801</v>
      </c>
    </row>
    <row r="693" spans="12:20" x14ac:dyDescent="0.35">
      <c r="L693" t="str">
        <f ca="1">IFERROR(_xludf.XLOOKUP(C693,CodePath_Defaults!A:A,CodePath_Defaults!D:D,""),IFERROR(_xludf.XLOOKUP(B693,CodePath_Defaults!B:B,CodePath_Defaults!D:D,""),""))</f>
        <v/>
      </c>
      <c r="T693" t="s">
        <v>801</v>
      </c>
    </row>
    <row r="694" spans="12:20" x14ac:dyDescent="0.35">
      <c r="L694" t="str">
        <f ca="1">IFERROR(_xludf.XLOOKUP(C694,CodePath_Defaults!A:A,CodePath_Defaults!D:D,""),IFERROR(_xludf.XLOOKUP(B694,CodePath_Defaults!B:B,CodePath_Defaults!D:D,""),""))</f>
        <v/>
      </c>
      <c r="T694" t="s">
        <v>801</v>
      </c>
    </row>
    <row r="695" spans="12:20" x14ac:dyDescent="0.35">
      <c r="L695" t="str">
        <f ca="1">IFERROR(_xludf.XLOOKUP(C695,CodePath_Defaults!A:A,CodePath_Defaults!D:D,""),IFERROR(_xludf.XLOOKUP(B695,CodePath_Defaults!B:B,CodePath_Defaults!D:D,""),""))</f>
        <v/>
      </c>
      <c r="T695" t="s">
        <v>801</v>
      </c>
    </row>
    <row r="696" spans="12:20" x14ac:dyDescent="0.35">
      <c r="L696" t="str">
        <f ca="1">IFERROR(_xludf.XLOOKUP(C696,CodePath_Defaults!A:A,CodePath_Defaults!D:D,""),IFERROR(_xludf.XLOOKUP(B696,CodePath_Defaults!B:B,CodePath_Defaults!D:D,""),""))</f>
        <v/>
      </c>
      <c r="T696" t="s">
        <v>801</v>
      </c>
    </row>
    <row r="697" spans="12:20" x14ac:dyDescent="0.35">
      <c r="L697" t="str">
        <f ca="1">IFERROR(_xludf.XLOOKUP(C697,CodePath_Defaults!A:A,CodePath_Defaults!D:D,""),IFERROR(_xludf.XLOOKUP(B697,CodePath_Defaults!B:B,CodePath_Defaults!D:D,""),""))</f>
        <v/>
      </c>
      <c r="T697" t="s">
        <v>801</v>
      </c>
    </row>
    <row r="698" spans="12:20" x14ac:dyDescent="0.35">
      <c r="L698" t="str">
        <f ca="1">IFERROR(_xludf.XLOOKUP(C698,CodePath_Defaults!A:A,CodePath_Defaults!D:D,""),IFERROR(_xludf.XLOOKUP(B698,CodePath_Defaults!B:B,CodePath_Defaults!D:D,""),""))</f>
        <v/>
      </c>
      <c r="T698" t="s">
        <v>801</v>
      </c>
    </row>
    <row r="699" spans="12:20" x14ac:dyDescent="0.35">
      <c r="L699" t="str">
        <f ca="1">IFERROR(_xludf.XLOOKUP(C699,CodePath_Defaults!A:A,CodePath_Defaults!D:D,""),IFERROR(_xludf.XLOOKUP(B699,CodePath_Defaults!B:B,CodePath_Defaults!D:D,""),""))</f>
        <v/>
      </c>
      <c r="T699" t="s">
        <v>801</v>
      </c>
    </row>
    <row r="700" spans="12:20" x14ac:dyDescent="0.35">
      <c r="L700" t="str">
        <f ca="1">IFERROR(_xludf.XLOOKUP(C700,CodePath_Defaults!A:A,CodePath_Defaults!D:D,""),IFERROR(_xludf.XLOOKUP(B700,CodePath_Defaults!B:B,CodePath_Defaults!D:D,""),""))</f>
        <v/>
      </c>
      <c r="T700" t="s">
        <v>801</v>
      </c>
    </row>
    <row r="701" spans="12:20" x14ac:dyDescent="0.35">
      <c r="L701" t="str">
        <f ca="1">IFERROR(_xludf.XLOOKUP(C701,CodePath_Defaults!A:A,CodePath_Defaults!D:D,""),IFERROR(_xludf.XLOOKUP(B701,CodePath_Defaults!B:B,CodePath_Defaults!D:D,""),""))</f>
        <v/>
      </c>
      <c r="T701" t="s">
        <v>801</v>
      </c>
    </row>
    <row r="702" spans="12:20" x14ac:dyDescent="0.35">
      <c r="L702" t="str">
        <f ca="1">IFERROR(_xludf.XLOOKUP(C702,CodePath_Defaults!A:A,CodePath_Defaults!D:D,""),IFERROR(_xludf.XLOOKUP(B702,CodePath_Defaults!B:B,CodePath_Defaults!D:D,""),""))</f>
        <v/>
      </c>
      <c r="T702" t="s">
        <v>801</v>
      </c>
    </row>
    <row r="703" spans="12:20" x14ac:dyDescent="0.35">
      <c r="L703" t="str">
        <f ca="1">IFERROR(_xludf.XLOOKUP(C703,CodePath_Defaults!A:A,CodePath_Defaults!D:D,""),IFERROR(_xludf.XLOOKUP(B703,CodePath_Defaults!B:B,CodePath_Defaults!D:D,""),""))</f>
        <v/>
      </c>
      <c r="T703" t="s">
        <v>801</v>
      </c>
    </row>
    <row r="704" spans="12:20" x14ac:dyDescent="0.35">
      <c r="L704" t="str">
        <f ca="1">IFERROR(_xludf.XLOOKUP(C704,CodePath_Defaults!A:A,CodePath_Defaults!D:D,""),IFERROR(_xludf.XLOOKUP(B704,CodePath_Defaults!B:B,CodePath_Defaults!D:D,""),""))</f>
        <v/>
      </c>
      <c r="T704" t="s">
        <v>801</v>
      </c>
    </row>
    <row r="705" spans="12:20" x14ac:dyDescent="0.35">
      <c r="L705" t="str">
        <f ca="1">IFERROR(_xludf.XLOOKUP(C705,CodePath_Defaults!A:A,CodePath_Defaults!D:D,""),IFERROR(_xludf.XLOOKUP(B705,CodePath_Defaults!B:B,CodePath_Defaults!D:D,""),""))</f>
        <v/>
      </c>
      <c r="T705" t="s">
        <v>801</v>
      </c>
    </row>
    <row r="706" spans="12:20" x14ac:dyDescent="0.35">
      <c r="L706" t="str">
        <f ca="1">IFERROR(_xludf.XLOOKUP(C706,CodePath_Defaults!A:A,CodePath_Defaults!D:D,""),IFERROR(_xludf.XLOOKUP(B706,CodePath_Defaults!B:B,CodePath_Defaults!D:D,""),""))</f>
        <v/>
      </c>
      <c r="T706" t="s">
        <v>801</v>
      </c>
    </row>
    <row r="707" spans="12:20" x14ac:dyDescent="0.35">
      <c r="L707" t="str">
        <f ca="1">IFERROR(_xludf.XLOOKUP(C707,CodePath_Defaults!A:A,CodePath_Defaults!D:D,""),IFERROR(_xludf.XLOOKUP(B707,CodePath_Defaults!B:B,CodePath_Defaults!D:D,""),""))</f>
        <v/>
      </c>
      <c r="T707" t="s">
        <v>801</v>
      </c>
    </row>
    <row r="708" spans="12:20" x14ac:dyDescent="0.35">
      <c r="L708" t="str">
        <f ca="1">IFERROR(_xludf.XLOOKUP(C708,CodePath_Defaults!A:A,CodePath_Defaults!D:D,""),IFERROR(_xludf.XLOOKUP(B708,CodePath_Defaults!B:B,CodePath_Defaults!D:D,""),""))</f>
        <v/>
      </c>
      <c r="T708" t="s">
        <v>801</v>
      </c>
    </row>
    <row r="709" spans="12:20" x14ac:dyDescent="0.35">
      <c r="L709" t="str">
        <f ca="1">IFERROR(_xludf.XLOOKUP(C709,CodePath_Defaults!A:A,CodePath_Defaults!D:D,""),IFERROR(_xludf.XLOOKUP(B709,CodePath_Defaults!B:B,CodePath_Defaults!D:D,""),""))</f>
        <v/>
      </c>
      <c r="T709" t="s">
        <v>801</v>
      </c>
    </row>
    <row r="710" spans="12:20" x14ac:dyDescent="0.35">
      <c r="L710" t="str">
        <f ca="1">IFERROR(_xludf.XLOOKUP(C710,CodePath_Defaults!A:A,CodePath_Defaults!D:D,""),IFERROR(_xludf.XLOOKUP(B710,CodePath_Defaults!B:B,CodePath_Defaults!D:D,""),""))</f>
        <v/>
      </c>
      <c r="T710" t="s">
        <v>801</v>
      </c>
    </row>
    <row r="711" spans="12:20" x14ac:dyDescent="0.35">
      <c r="L711" t="str">
        <f ca="1">IFERROR(_xludf.XLOOKUP(C711,CodePath_Defaults!A:A,CodePath_Defaults!D:D,""),IFERROR(_xludf.XLOOKUP(B711,CodePath_Defaults!B:B,CodePath_Defaults!D:D,""),""))</f>
        <v/>
      </c>
      <c r="T711" t="s">
        <v>801</v>
      </c>
    </row>
    <row r="712" spans="12:20" x14ac:dyDescent="0.35">
      <c r="L712" t="str">
        <f ca="1">IFERROR(_xludf.XLOOKUP(C712,CodePath_Defaults!A:A,CodePath_Defaults!D:D,""),IFERROR(_xludf.XLOOKUP(B712,CodePath_Defaults!B:B,CodePath_Defaults!D:D,""),""))</f>
        <v/>
      </c>
      <c r="T712" t="s">
        <v>801</v>
      </c>
    </row>
    <row r="713" spans="12:20" x14ac:dyDescent="0.35">
      <c r="L713" t="str">
        <f ca="1">IFERROR(_xludf.XLOOKUP(C713,CodePath_Defaults!A:A,CodePath_Defaults!D:D,""),IFERROR(_xludf.XLOOKUP(B713,CodePath_Defaults!B:B,CodePath_Defaults!D:D,""),""))</f>
        <v/>
      </c>
      <c r="T713" t="s">
        <v>801</v>
      </c>
    </row>
    <row r="714" spans="12:20" x14ac:dyDescent="0.35">
      <c r="L714" t="str">
        <f ca="1">IFERROR(_xludf.XLOOKUP(C714,CodePath_Defaults!A:A,CodePath_Defaults!D:D,""),IFERROR(_xludf.XLOOKUP(B714,CodePath_Defaults!B:B,CodePath_Defaults!D:D,""),""))</f>
        <v/>
      </c>
      <c r="T714" t="s">
        <v>801</v>
      </c>
    </row>
    <row r="715" spans="12:20" x14ac:dyDescent="0.35">
      <c r="L715" t="str">
        <f ca="1">IFERROR(_xludf.XLOOKUP(C715,CodePath_Defaults!A:A,CodePath_Defaults!D:D,""),IFERROR(_xludf.XLOOKUP(B715,CodePath_Defaults!B:B,CodePath_Defaults!D:D,""),""))</f>
        <v/>
      </c>
      <c r="T715" t="s">
        <v>801</v>
      </c>
    </row>
    <row r="716" spans="12:20" x14ac:dyDescent="0.35">
      <c r="L716" t="str">
        <f ca="1">IFERROR(_xludf.XLOOKUP(C716,CodePath_Defaults!A:A,CodePath_Defaults!D:D,""),IFERROR(_xludf.XLOOKUP(B716,CodePath_Defaults!B:B,CodePath_Defaults!D:D,""),""))</f>
        <v/>
      </c>
      <c r="T716" t="s">
        <v>801</v>
      </c>
    </row>
    <row r="717" spans="12:20" x14ac:dyDescent="0.35">
      <c r="L717" t="str">
        <f ca="1">IFERROR(_xludf.XLOOKUP(C717,CodePath_Defaults!A:A,CodePath_Defaults!D:D,""),IFERROR(_xludf.XLOOKUP(B717,CodePath_Defaults!B:B,CodePath_Defaults!D:D,""),""))</f>
        <v/>
      </c>
      <c r="T717" t="s">
        <v>801</v>
      </c>
    </row>
    <row r="718" spans="12:20" x14ac:dyDescent="0.35">
      <c r="L718" t="str">
        <f ca="1">IFERROR(_xludf.XLOOKUP(C718,CodePath_Defaults!A:A,CodePath_Defaults!D:D,""),IFERROR(_xludf.XLOOKUP(B718,CodePath_Defaults!B:B,CodePath_Defaults!D:D,""),""))</f>
        <v/>
      </c>
      <c r="T718" t="s">
        <v>801</v>
      </c>
    </row>
    <row r="719" spans="12:20" x14ac:dyDescent="0.35">
      <c r="L719" t="str">
        <f ca="1">IFERROR(_xludf.XLOOKUP(C719,CodePath_Defaults!A:A,CodePath_Defaults!D:D,""),IFERROR(_xludf.XLOOKUP(B719,CodePath_Defaults!B:B,CodePath_Defaults!D:D,""),""))</f>
        <v/>
      </c>
      <c r="T719" t="s">
        <v>801</v>
      </c>
    </row>
    <row r="720" spans="12:20" x14ac:dyDescent="0.35">
      <c r="L720" t="str">
        <f ca="1">IFERROR(_xludf.XLOOKUP(C720,CodePath_Defaults!A:A,CodePath_Defaults!D:D,""),IFERROR(_xludf.XLOOKUP(B720,CodePath_Defaults!B:B,CodePath_Defaults!D:D,""),""))</f>
        <v/>
      </c>
      <c r="T720" t="s">
        <v>801</v>
      </c>
    </row>
    <row r="721" spans="12:20" x14ac:dyDescent="0.35">
      <c r="L721" t="str">
        <f ca="1">IFERROR(_xludf.XLOOKUP(C721,CodePath_Defaults!A:A,CodePath_Defaults!D:D,""),IFERROR(_xludf.XLOOKUP(B721,CodePath_Defaults!B:B,CodePath_Defaults!D:D,""),""))</f>
        <v/>
      </c>
      <c r="T721" t="s">
        <v>801</v>
      </c>
    </row>
    <row r="722" spans="12:20" x14ac:dyDescent="0.35">
      <c r="L722" t="str">
        <f ca="1">IFERROR(_xludf.XLOOKUP(C722,CodePath_Defaults!A:A,CodePath_Defaults!D:D,""),IFERROR(_xludf.XLOOKUP(B722,CodePath_Defaults!B:B,CodePath_Defaults!D:D,""),""))</f>
        <v/>
      </c>
      <c r="T722" t="s">
        <v>801</v>
      </c>
    </row>
    <row r="723" spans="12:20" x14ac:dyDescent="0.35">
      <c r="L723" t="str">
        <f ca="1">IFERROR(_xludf.XLOOKUP(C723,CodePath_Defaults!A:A,CodePath_Defaults!D:D,""),IFERROR(_xludf.XLOOKUP(B723,CodePath_Defaults!B:B,CodePath_Defaults!D:D,""),""))</f>
        <v/>
      </c>
      <c r="T723" t="s">
        <v>801</v>
      </c>
    </row>
    <row r="724" spans="12:20" x14ac:dyDescent="0.35">
      <c r="L724" t="str">
        <f ca="1">IFERROR(_xludf.XLOOKUP(C724,CodePath_Defaults!A:A,CodePath_Defaults!D:D,""),IFERROR(_xludf.XLOOKUP(B724,CodePath_Defaults!B:B,CodePath_Defaults!D:D,""),""))</f>
        <v/>
      </c>
      <c r="T724" t="s">
        <v>801</v>
      </c>
    </row>
    <row r="725" spans="12:20" x14ac:dyDescent="0.35">
      <c r="L725" t="str">
        <f ca="1">IFERROR(_xludf.XLOOKUP(C725,CodePath_Defaults!A:A,CodePath_Defaults!D:D,""),IFERROR(_xludf.XLOOKUP(B725,CodePath_Defaults!B:B,CodePath_Defaults!D:D,""),""))</f>
        <v/>
      </c>
      <c r="T725" t="s">
        <v>801</v>
      </c>
    </row>
    <row r="726" spans="12:20" x14ac:dyDescent="0.35">
      <c r="L726" t="str">
        <f ca="1">IFERROR(_xludf.XLOOKUP(C726,CodePath_Defaults!A:A,CodePath_Defaults!D:D,""),IFERROR(_xludf.XLOOKUP(B726,CodePath_Defaults!B:B,CodePath_Defaults!D:D,""),""))</f>
        <v/>
      </c>
      <c r="T726" t="s">
        <v>801</v>
      </c>
    </row>
    <row r="727" spans="12:20" x14ac:dyDescent="0.35">
      <c r="L727" t="str">
        <f ca="1">IFERROR(_xludf.XLOOKUP(C727,CodePath_Defaults!A:A,CodePath_Defaults!D:D,""),IFERROR(_xludf.XLOOKUP(B727,CodePath_Defaults!B:B,CodePath_Defaults!D:D,""),""))</f>
        <v/>
      </c>
      <c r="T727" t="s">
        <v>801</v>
      </c>
    </row>
    <row r="728" spans="12:20" x14ac:dyDescent="0.35">
      <c r="L728" t="str">
        <f ca="1">IFERROR(_xludf.XLOOKUP(C728,CodePath_Defaults!A:A,CodePath_Defaults!D:D,""),IFERROR(_xludf.XLOOKUP(B728,CodePath_Defaults!B:B,CodePath_Defaults!D:D,""),""))</f>
        <v/>
      </c>
      <c r="T728" t="s">
        <v>801</v>
      </c>
    </row>
    <row r="729" spans="12:20" x14ac:dyDescent="0.35">
      <c r="L729" t="str">
        <f ca="1">IFERROR(_xludf.XLOOKUP(C729,CodePath_Defaults!A:A,CodePath_Defaults!D:D,""),IFERROR(_xludf.XLOOKUP(B729,CodePath_Defaults!B:B,CodePath_Defaults!D:D,""),""))</f>
        <v/>
      </c>
      <c r="T729" t="s">
        <v>801</v>
      </c>
    </row>
    <row r="730" spans="12:20" x14ac:dyDescent="0.35">
      <c r="L730" t="str">
        <f ca="1">IFERROR(_xludf.XLOOKUP(C730,CodePath_Defaults!A:A,CodePath_Defaults!D:D,""),IFERROR(_xludf.XLOOKUP(B730,CodePath_Defaults!B:B,CodePath_Defaults!D:D,""),""))</f>
        <v/>
      </c>
      <c r="T730" t="s">
        <v>801</v>
      </c>
    </row>
    <row r="731" spans="12:20" x14ac:dyDescent="0.35">
      <c r="L731" t="str">
        <f ca="1">IFERROR(_xludf.XLOOKUP(C731,CodePath_Defaults!A:A,CodePath_Defaults!D:D,""),IFERROR(_xludf.XLOOKUP(B731,CodePath_Defaults!B:B,CodePath_Defaults!D:D,""),""))</f>
        <v/>
      </c>
      <c r="T731" t="s">
        <v>801</v>
      </c>
    </row>
    <row r="732" spans="12:20" x14ac:dyDescent="0.35">
      <c r="L732" t="str">
        <f ca="1">IFERROR(_xludf.XLOOKUP(C732,CodePath_Defaults!A:A,CodePath_Defaults!D:D,""),IFERROR(_xludf.XLOOKUP(B732,CodePath_Defaults!B:B,CodePath_Defaults!D:D,""),""))</f>
        <v/>
      </c>
      <c r="T732" t="s">
        <v>801</v>
      </c>
    </row>
    <row r="733" spans="12:20" x14ac:dyDescent="0.35">
      <c r="L733" t="str">
        <f ca="1">IFERROR(_xludf.XLOOKUP(C733,CodePath_Defaults!A:A,CodePath_Defaults!D:D,""),IFERROR(_xludf.XLOOKUP(B733,CodePath_Defaults!B:B,CodePath_Defaults!D:D,""),""))</f>
        <v/>
      </c>
      <c r="T733" t="s">
        <v>801</v>
      </c>
    </row>
    <row r="734" spans="12:20" x14ac:dyDescent="0.35">
      <c r="L734" t="str">
        <f ca="1">IFERROR(_xludf.XLOOKUP(C734,CodePath_Defaults!A:A,CodePath_Defaults!D:D,""),IFERROR(_xludf.XLOOKUP(B734,CodePath_Defaults!B:B,CodePath_Defaults!D:D,""),""))</f>
        <v/>
      </c>
      <c r="T734" t="s">
        <v>801</v>
      </c>
    </row>
    <row r="735" spans="12:20" x14ac:dyDescent="0.35">
      <c r="L735" t="str">
        <f ca="1">IFERROR(_xludf.XLOOKUP(C735,CodePath_Defaults!A:A,CodePath_Defaults!D:D,""),IFERROR(_xludf.XLOOKUP(B735,CodePath_Defaults!B:B,CodePath_Defaults!D:D,""),""))</f>
        <v/>
      </c>
      <c r="T735" t="s">
        <v>801</v>
      </c>
    </row>
    <row r="736" spans="12:20" x14ac:dyDescent="0.35">
      <c r="L736" t="str">
        <f ca="1">IFERROR(_xludf.XLOOKUP(C736,CodePath_Defaults!A:A,CodePath_Defaults!D:D,""),IFERROR(_xludf.XLOOKUP(B736,CodePath_Defaults!B:B,CodePath_Defaults!D:D,""),""))</f>
        <v/>
      </c>
      <c r="T736" t="s">
        <v>801</v>
      </c>
    </row>
    <row r="737" spans="12:20" x14ac:dyDescent="0.35">
      <c r="L737" t="str">
        <f ca="1">IFERROR(_xludf.XLOOKUP(C737,CodePath_Defaults!A:A,CodePath_Defaults!D:D,""),IFERROR(_xludf.XLOOKUP(B737,CodePath_Defaults!B:B,CodePath_Defaults!D:D,""),""))</f>
        <v/>
      </c>
      <c r="T737" t="s">
        <v>801</v>
      </c>
    </row>
    <row r="738" spans="12:20" x14ac:dyDescent="0.35">
      <c r="L738" t="str">
        <f ca="1">IFERROR(_xludf.XLOOKUP(C738,CodePath_Defaults!A:A,CodePath_Defaults!D:D,""),IFERROR(_xludf.XLOOKUP(B738,CodePath_Defaults!B:B,CodePath_Defaults!D:D,""),""))</f>
        <v/>
      </c>
      <c r="T738" t="s">
        <v>801</v>
      </c>
    </row>
    <row r="739" spans="12:20" x14ac:dyDescent="0.35">
      <c r="L739" t="str">
        <f ca="1">IFERROR(_xludf.XLOOKUP(C739,CodePath_Defaults!A:A,CodePath_Defaults!D:D,""),IFERROR(_xludf.XLOOKUP(B739,CodePath_Defaults!B:B,CodePath_Defaults!D:D,""),""))</f>
        <v/>
      </c>
      <c r="T739" t="s">
        <v>801</v>
      </c>
    </row>
    <row r="740" spans="12:20" x14ac:dyDescent="0.35">
      <c r="L740" t="str">
        <f ca="1">IFERROR(_xludf.XLOOKUP(C740,CodePath_Defaults!A:A,CodePath_Defaults!D:D,""),IFERROR(_xludf.XLOOKUP(B740,CodePath_Defaults!B:B,CodePath_Defaults!D:D,""),""))</f>
        <v/>
      </c>
      <c r="T740" t="s">
        <v>801</v>
      </c>
    </row>
    <row r="741" spans="12:20" x14ac:dyDescent="0.35">
      <c r="L741" t="str">
        <f ca="1">IFERROR(_xludf.XLOOKUP(C741,CodePath_Defaults!A:A,CodePath_Defaults!D:D,""),IFERROR(_xludf.XLOOKUP(B741,CodePath_Defaults!B:B,CodePath_Defaults!D:D,""),""))</f>
        <v/>
      </c>
      <c r="T741" t="s">
        <v>801</v>
      </c>
    </row>
    <row r="742" spans="12:20" x14ac:dyDescent="0.35">
      <c r="L742" t="str">
        <f ca="1">IFERROR(_xludf.XLOOKUP(C742,CodePath_Defaults!A:A,CodePath_Defaults!D:D,""),IFERROR(_xludf.XLOOKUP(B742,CodePath_Defaults!B:B,CodePath_Defaults!D:D,""),""))</f>
        <v/>
      </c>
      <c r="T742" t="s">
        <v>801</v>
      </c>
    </row>
    <row r="743" spans="12:20" x14ac:dyDescent="0.35">
      <c r="L743" t="str">
        <f ca="1">IFERROR(_xludf.XLOOKUP(C743,CodePath_Defaults!A:A,CodePath_Defaults!D:D,""),IFERROR(_xludf.XLOOKUP(B743,CodePath_Defaults!B:B,CodePath_Defaults!D:D,""),""))</f>
        <v/>
      </c>
      <c r="T743" t="s">
        <v>801</v>
      </c>
    </row>
    <row r="744" spans="12:20" x14ac:dyDescent="0.35">
      <c r="L744" t="str">
        <f ca="1">IFERROR(_xludf.XLOOKUP(C744,CodePath_Defaults!A:A,CodePath_Defaults!D:D,""),IFERROR(_xludf.XLOOKUP(B744,CodePath_Defaults!B:B,CodePath_Defaults!D:D,""),""))</f>
        <v/>
      </c>
      <c r="T744" t="s">
        <v>801</v>
      </c>
    </row>
    <row r="745" spans="12:20" x14ac:dyDescent="0.35">
      <c r="L745" t="str">
        <f ca="1">IFERROR(_xludf.XLOOKUP(C745,CodePath_Defaults!A:A,CodePath_Defaults!D:D,""),IFERROR(_xludf.XLOOKUP(B745,CodePath_Defaults!B:B,CodePath_Defaults!D:D,""),""))</f>
        <v/>
      </c>
      <c r="T745" t="s">
        <v>801</v>
      </c>
    </row>
    <row r="746" spans="12:20" x14ac:dyDescent="0.35">
      <c r="L746" t="str">
        <f ca="1">IFERROR(_xludf.XLOOKUP(C746,CodePath_Defaults!A:A,CodePath_Defaults!D:D,""),IFERROR(_xludf.XLOOKUP(B746,CodePath_Defaults!B:B,CodePath_Defaults!D:D,""),""))</f>
        <v/>
      </c>
      <c r="T746" t="s">
        <v>801</v>
      </c>
    </row>
    <row r="747" spans="12:20" x14ac:dyDescent="0.35">
      <c r="L747" t="str">
        <f ca="1">IFERROR(_xludf.XLOOKUP(C747,CodePath_Defaults!A:A,CodePath_Defaults!D:D,""),IFERROR(_xludf.XLOOKUP(B747,CodePath_Defaults!B:B,CodePath_Defaults!D:D,""),""))</f>
        <v/>
      </c>
      <c r="T747" t="s">
        <v>801</v>
      </c>
    </row>
    <row r="748" spans="12:20" x14ac:dyDescent="0.35">
      <c r="L748" t="str">
        <f ca="1">IFERROR(_xludf.XLOOKUP(C748,CodePath_Defaults!A:A,CodePath_Defaults!D:D,""),IFERROR(_xludf.XLOOKUP(B748,CodePath_Defaults!B:B,CodePath_Defaults!D:D,""),""))</f>
        <v/>
      </c>
      <c r="T748" t="s">
        <v>801</v>
      </c>
    </row>
    <row r="749" spans="12:20" x14ac:dyDescent="0.35">
      <c r="L749" t="str">
        <f ca="1">IFERROR(_xludf.XLOOKUP(C749,CodePath_Defaults!A:A,CodePath_Defaults!D:D,""),IFERROR(_xludf.XLOOKUP(B749,CodePath_Defaults!B:B,CodePath_Defaults!D:D,""),""))</f>
        <v/>
      </c>
      <c r="T749" t="s">
        <v>801</v>
      </c>
    </row>
    <row r="750" spans="12:20" x14ac:dyDescent="0.35">
      <c r="L750" t="str">
        <f ca="1">IFERROR(_xludf.XLOOKUP(C750,CodePath_Defaults!A:A,CodePath_Defaults!D:D,""),IFERROR(_xludf.XLOOKUP(B750,CodePath_Defaults!B:B,CodePath_Defaults!D:D,""),""))</f>
        <v/>
      </c>
      <c r="T750" t="s">
        <v>801</v>
      </c>
    </row>
    <row r="751" spans="12:20" x14ac:dyDescent="0.35">
      <c r="L751" t="str">
        <f ca="1">IFERROR(_xludf.XLOOKUP(C751,CodePath_Defaults!A:A,CodePath_Defaults!D:D,""),IFERROR(_xludf.XLOOKUP(B751,CodePath_Defaults!B:B,CodePath_Defaults!D:D,""),""))</f>
        <v/>
      </c>
      <c r="T751" t="s">
        <v>801</v>
      </c>
    </row>
    <row r="752" spans="12:20" x14ac:dyDescent="0.35">
      <c r="L752" t="str">
        <f ca="1">IFERROR(_xludf.XLOOKUP(C752,CodePath_Defaults!A:A,CodePath_Defaults!D:D,""),IFERROR(_xludf.XLOOKUP(B752,CodePath_Defaults!B:B,CodePath_Defaults!D:D,""),""))</f>
        <v/>
      </c>
      <c r="T752" t="s">
        <v>801</v>
      </c>
    </row>
    <row r="753" spans="12:20" x14ac:dyDescent="0.35">
      <c r="L753" t="str">
        <f ca="1">IFERROR(_xludf.XLOOKUP(C753,CodePath_Defaults!A:A,CodePath_Defaults!D:D,""),IFERROR(_xludf.XLOOKUP(B753,CodePath_Defaults!B:B,CodePath_Defaults!D:D,""),""))</f>
        <v/>
      </c>
      <c r="T753" t="s">
        <v>801</v>
      </c>
    </row>
    <row r="754" spans="12:20" x14ac:dyDescent="0.35">
      <c r="L754" t="str">
        <f ca="1">IFERROR(_xludf.XLOOKUP(C754,CodePath_Defaults!A:A,CodePath_Defaults!D:D,""),IFERROR(_xludf.XLOOKUP(B754,CodePath_Defaults!B:B,CodePath_Defaults!D:D,""),""))</f>
        <v/>
      </c>
      <c r="T754" t="s">
        <v>801</v>
      </c>
    </row>
    <row r="755" spans="12:20" x14ac:dyDescent="0.35">
      <c r="L755" t="str">
        <f ca="1">IFERROR(_xludf.XLOOKUP(C755,CodePath_Defaults!A:A,CodePath_Defaults!D:D,""),IFERROR(_xludf.XLOOKUP(B755,CodePath_Defaults!B:B,CodePath_Defaults!D:D,""),""))</f>
        <v/>
      </c>
      <c r="T755" t="s">
        <v>801</v>
      </c>
    </row>
    <row r="756" spans="12:20" x14ac:dyDescent="0.35">
      <c r="L756" t="str">
        <f ca="1">IFERROR(_xludf.XLOOKUP(C756,CodePath_Defaults!A:A,CodePath_Defaults!D:D,""),IFERROR(_xludf.XLOOKUP(B756,CodePath_Defaults!B:B,CodePath_Defaults!D:D,""),""))</f>
        <v/>
      </c>
      <c r="T756" t="s">
        <v>801</v>
      </c>
    </row>
    <row r="757" spans="12:20" x14ac:dyDescent="0.35">
      <c r="L757" t="str">
        <f ca="1">IFERROR(_xludf.XLOOKUP(C757,CodePath_Defaults!A:A,CodePath_Defaults!D:D,""),IFERROR(_xludf.XLOOKUP(B757,CodePath_Defaults!B:B,CodePath_Defaults!D:D,""),""))</f>
        <v/>
      </c>
      <c r="T757" t="s">
        <v>801</v>
      </c>
    </row>
    <row r="758" spans="12:20" x14ac:dyDescent="0.35">
      <c r="L758" t="str">
        <f ca="1">IFERROR(_xludf.XLOOKUP(C758,CodePath_Defaults!A:A,CodePath_Defaults!D:D,""),IFERROR(_xludf.XLOOKUP(B758,CodePath_Defaults!B:B,CodePath_Defaults!D:D,""),""))</f>
        <v/>
      </c>
      <c r="T758" t="s">
        <v>801</v>
      </c>
    </row>
    <row r="759" spans="12:20" x14ac:dyDescent="0.35">
      <c r="L759" t="str">
        <f ca="1">IFERROR(_xludf.XLOOKUP(C759,CodePath_Defaults!A:A,CodePath_Defaults!D:D,""),IFERROR(_xludf.XLOOKUP(B759,CodePath_Defaults!B:B,CodePath_Defaults!D:D,""),""))</f>
        <v/>
      </c>
      <c r="T759" t="s">
        <v>801</v>
      </c>
    </row>
    <row r="760" spans="12:20" x14ac:dyDescent="0.35">
      <c r="L760" t="str">
        <f ca="1">IFERROR(_xludf.XLOOKUP(C760,CodePath_Defaults!A:A,CodePath_Defaults!D:D,""),IFERROR(_xludf.XLOOKUP(B760,CodePath_Defaults!B:B,CodePath_Defaults!D:D,""),""))</f>
        <v/>
      </c>
      <c r="T760" t="s">
        <v>801</v>
      </c>
    </row>
    <row r="761" spans="12:20" x14ac:dyDescent="0.35">
      <c r="L761" t="str">
        <f ca="1">IFERROR(_xludf.XLOOKUP(C761,CodePath_Defaults!A:A,CodePath_Defaults!D:D,""),IFERROR(_xludf.XLOOKUP(B761,CodePath_Defaults!B:B,CodePath_Defaults!D:D,""),""))</f>
        <v/>
      </c>
      <c r="T761" t="s">
        <v>801</v>
      </c>
    </row>
    <row r="762" spans="12:20" x14ac:dyDescent="0.35">
      <c r="L762" t="str">
        <f ca="1">IFERROR(_xludf.XLOOKUP(C762,CodePath_Defaults!A:A,CodePath_Defaults!D:D,""),IFERROR(_xludf.XLOOKUP(B762,CodePath_Defaults!B:B,CodePath_Defaults!D:D,""),""))</f>
        <v/>
      </c>
      <c r="T762" t="s">
        <v>801</v>
      </c>
    </row>
    <row r="763" spans="12:20" x14ac:dyDescent="0.35">
      <c r="L763" t="str">
        <f ca="1">IFERROR(_xludf.XLOOKUP(C763,CodePath_Defaults!A:A,CodePath_Defaults!D:D,""),IFERROR(_xludf.XLOOKUP(B763,CodePath_Defaults!B:B,CodePath_Defaults!D:D,""),""))</f>
        <v/>
      </c>
      <c r="T763" t="s">
        <v>801</v>
      </c>
    </row>
    <row r="764" spans="12:20" x14ac:dyDescent="0.35">
      <c r="L764" t="str">
        <f ca="1">IFERROR(_xludf.XLOOKUP(C764,CodePath_Defaults!A:A,CodePath_Defaults!D:D,""),IFERROR(_xludf.XLOOKUP(B764,CodePath_Defaults!B:B,CodePath_Defaults!D:D,""),""))</f>
        <v/>
      </c>
      <c r="T764" t="s">
        <v>801</v>
      </c>
    </row>
    <row r="765" spans="12:20" x14ac:dyDescent="0.35">
      <c r="L765" t="str">
        <f ca="1">IFERROR(_xludf.XLOOKUP(C765,CodePath_Defaults!A:A,CodePath_Defaults!D:D,""),IFERROR(_xludf.XLOOKUP(B765,CodePath_Defaults!B:B,CodePath_Defaults!D:D,""),""))</f>
        <v/>
      </c>
      <c r="T765" t="s">
        <v>801</v>
      </c>
    </row>
    <row r="766" spans="12:20" x14ac:dyDescent="0.35">
      <c r="L766" t="str">
        <f ca="1">IFERROR(_xludf.XLOOKUP(C766,CodePath_Defaults!A:A,CodePath_Defaults!D:D,""),IFERROR(_xludf.XLOOKUP(B766,CodePath_Defaults!B:B,CodePath_Defaults!D:D,""),""))</f>
        <v/>
      </c>
      <c r="T766" t="s">
        <v>801</v>
      </c>
    </row>
    <row r="767" spans="12:20" x14ac:dyDescent="0.35">
      <c r="L767" t="str">
        <f ca="1">IFERROR(_xludf.XLOOKUP(C767,CodePath_Defaults!A:A,CodePath_Defaults!D:D,""),IFERROR(_xludf.XLOOKUP(B767,CodePath_Defaults!B:B,CodePath_Defaults!D:D,""),""))</f>
        <v/>
      </c>
      <c r="T767" t="s">
        <v>801</v>
      </c>
    </row>
    <row r="768" spans="12:20" x14ac:dyDescent="0.35">
      <c r="L768" t="str">
        <f ca="1">IFERROR(_xludf.XLOOKUP(C768,CodePath_Defaults!A:A,CodePath_Defaults!D:D,""),IFERROR(_xludf.XLOOKUP(B768,CodePath_Defaults!B:B,CodePath_Defaults!D:D,""),""))</f>
        <v/>
      </c>
      <c r="T768" t="s">
        <v>801</v>
      </c>
    </row>
    <row r="769" spans="12:20" x14ac:dyDescent="0.35">
      <c r="L769" t="str">
        <f ca="1">IFERROR(_xludf.XLOOKUP(C769,CodePath_Defaults!A:A,CodePath_Defaults!D:D,""),IFERROR(_xludf.XLOOKUP(B769,CodePath_Defaults!B:B,CodePath_Defaults!D:D,""),""))</f>
        <v/>
      </c>
      <c r="T769" t="s">
        <v>801</v>
      </c>
    </row>
    <row r="770" spans="12:20" x14ac:dyDescent="0.35">
      <c r="L770" t="str">
        <f ca="1">IFERROR(_xludf.XLOOKUP(C770,CodePath_Defaults!A:A,CodePath_Defaults!D:D,""),IFERROR(_xludf.XLOOKUP(B770,CodePath_Defaults!B:B,CodePath_Defaults!D:D,""),""))</f>
        <v/>
      </c>
      <c r="T770" t="s">
        <v>801</v>
      </c>
    </row>
    <row r="771" spans="12:20" x14ac:dyDescent="0.35">
      <c r="L771" t="str">
        <f ca="1">IFERROR(_xludf.XLOOKUP(C771,CodePath_Defaults!A:A,CodePath_Defaults!D:D,""),IFERROR(_xludf.XLOOKUP(B771,CodePath_Defaults!B:B,CodePath_Defaults!D:D,""),""))</f>
        <v/>
      </c>
      <c r="T771" t="s">
        <v>801</v>
      </c>
    </row>
    <row r="772" spans="12:20" x14ac:dyDescent="0.35">
      <c r="L772" t="str">
        <f ca="1">IFERROR(_xludf.XLOOKUP(C772,CodePath_Defaults!A:A,CodePath_Defaults!D:D,""),IFERROR(_xludf.XLOOKUP(B772,CodePath_Defaults!B:B,CodePath_Defaults!D:D,""),""))</f>
        <v/>
      </c>
      <c r="T772" t="s">
        <v>801</v>
      </c>
    </row>
    <row r="773" spans="12:20" x14ac:dyDescent="0.35">
      <c r="L773" t="str">
        <f ca="1">IFERROR(_xludf.XLOOKUP(C773,CodePath_Defaults!A:A,CodePath_Defaults!D:D,""),IFERROR(_xludf.XLOOKUP(B773,CodePath_Defaults!B:B,CodePath_Defaults!D:D,""),""))</f>
        <v/>
      </c>
      <c r="T773" t="s">
        <v>801</v>
      </c>
    </row>
    <row r="774" spans="12:20" x14ac:dyDescent="0.35">
      <c r="L774" t="str">
        <f ca="1">IFERROR(_xludf.XLOOKUP(C774,CodePath_Defaults!A:A,CodePath_Defaults!D:D,""),IFERROR(_xludf.XLOOKUP(B774,CodePath_Defaults!B:B,CodePath_Defaults!D:D,""),""))</f>
        <v/>
      </c>
      <c r="T774" t="s">
        <v>801</v>
      </c>
    </row>
    <row r="775" spans="12:20" x14ac:dyDescent="0.35">
      <c r="L775" t="str">
        <f ca="1">IFERROR(_xludf.XLOOKUP(C775,CodePath_Defaults!A:A,CodePath_Defaults!D:D,""),IFERROR(_xludf.XLOOKUP(B775,CodePath_Defaults!B:B,CodePath_Defaults!D:D,""),""))</f>
        <v/>
      </c>
      <c r="T775" t="s">
        <v>801</v>
      </c>
    </row>
    <row r="776" spans="12:20" x14ac:dyDescent="0.35">
      <c r="L776" t="str">
        <f ca="1">IFERROR(_xludf.XLOOKUP(C776,CodePath_Defaults!A:A,CodePath_Defaults!D:D,""),IFERROR(_xludf.XLOOKUP(B776,CodePath_Defaults!B:B,CodePath_Defaults!D:D,""),""))</f>
        <v/>
      </c>
      <c r="T776" t="s">
        <v>801</v>
      </c>
    </row>
    <row r="777" spans="12:20" x14ac:dyDescent="0.35">
      <c r="L777" t="str">
        <f ca="1">IFERROR(_xludf.XLOOKUP(C777,CodePath_Defaults!A:A,CodePath_Defaults!D:D,""),IFERROR(_xludf.XLOOKUP(B777,CodePath_Defaults!B:B,CodePath_Defaults!D:D,""),""))</f>
        <v/>
      </c>
      <c r="T777" t="s">
        <v>801</v>
      </c>
    </row>
    <row r="778" spans="12:20" x14ac:dyDescent="0.35">
      <c r="L778" t="str">
        <f ca="1">IFERROR(_xludf.XLOOKUP(C778,CodePath_Defaults!A:A,CodePath_Defaults!D:D,""),IFERROR(_xludf.XLOOKUP(B778,CodePath_Defaults!B:B,CodePath_Defaults!D:D,""),""))</f>
        <v/>
      </c>
      <c r="T778" t="s">
        <v>801</v>
      </c>
    </row>
    <row r="779" spans="12:20" x14ac:dyDescent="0.35">
      <c r="L779" t="str">
        <f ca="1">IFERROR(_xludf.XLOOKUP(C779,CodePath_Defaults!A:A,CodePath_Defaults!D:D,""),IFERROR(_xludf.XLOOKUP(B779,CodePath_Defaults!B:B,CodePath_Defaults!D:D,""),""))</f>
        <v/>
      </c>
      <c r="T779" t="s">
        <v>801</v>
      </c>
    </row>
    <row r="780" spans="12:20" x14ac:dyDescent="0.35">
      <c r="L780" t="str">
        <f ca="1">IFERROR(_xludf.XLOOKUP(C780,CodePath_Defaults!A:A,CodePath_Defaults!D:D,""),IFERROR(_xludf.XLOOKUP(B780,CodePath_Defaults!B:B,CodePath_Defaults!D:D,""),""))</f>
        <v/>
      </c>
      <c r="T780" t="s">
        <v>801</v>
      </c>
    </row>
    <row r="781" spans="12:20" x14ac:dyDescent="0.35">
      <c r="L781" t="str">
        <f ca="1">IFERROR(_xludf.XLOOKUP(C781,CodePath_Defaults!A:A,CodePath_Defaults!D:D,""),IFERROR(_xludf.XLOOKUP(B781,CodePath_Defaults!B:B,CodePath_Defaults!D:D,""),""))</f>
        <v/>
      </c>
      <c r="T781" t="s">
        <v>801</v>
      </c>
    </row>
    <row r="782" spans="12:20" x14ac:dyDescent="0.35">
      <c r="L782" t="str">
        <f ca="1">IFERROR(_xludf.XLOOKUP(C782,CodePath_Defaults!A:A,CodePath_Defaults!D:D,""),IFERROR(_xludf.XLOOKUP(B782,CodePath_Defaults!B:B,CodePath_Defaults!D:D,""),""))</f>
        <v/>
      </c>
      <c r="T782" t="s">
        <v>801</v>
      </c>
    </row>
    <row r="783" spans="12:20" x14ac:dyDescent="0.35">
      <c r="L783" t="str">
        <f ca="1">IFERROR(_xludf.XLOOKUP(C783,CodePath_Defaults!A:A,CodePath_Defaults!D:D,""),IFERROR(_xludf.XLOOKUP(B783,CodePath_Defaults!B:B,CodePath_Defaults!D:D,""),""))</f>
        <v/>
      </c>
      <c r="T783" t="s">
        <v>801</v>
      </c>
    </row>
    <row r="784" spans="12:20" x14ac:dyDescent="0.35">
      <c r="L784" t="str">
        <f ca="1">IFERROR(_xludf.XLOOKUP(C784,CodePath_Defaults!A:A,CodePath_Defaults!D:D,""),IFERROR(_xludf.XLOOKUP(B784,CodePath_Defaults!B:B,CodePath_Defaults!D:D,""),""))</f>
        <v/>
      </c>
      <c r="T784" t="s">
        <v>801</v>
      </c>
    </row>
    <row r="785" spans="12:20" x14ac:dyDescent="0.35">
      <c r="L785" t="str">
        <f ca="1">IFERROR(_xludf.XLOOKUP(C785,CodePath_Defaults!A:A,CodePath_Defaults!D:D,""),IFERROR(_xludf.XLOOKUP(B785,CodePath_Defaults!B:B,CodePath_Defaults!D:D,""),""))</f>
        <v/>
      </c>
      <c r="T785" t="s">
        <v>801</v>
      </c>
    </row>
    <row r="786" spans="12:20" x14ac:dyDescent="0.35">
      <c r="L786" t="str">
        <f ca="1">IFERROR(_xludf.XLOOKUP(C786,CodePath_Defaults!A:A,CodePath_Defaults!D:D,""),IFERROR(_xludf.XLOOKUP(B786,CodePath_Defaults!B:B,CodePath_Defaults!D:D,""),""))</f>
        <v/>
      </c>
      <c r="T786" t="s">
        <v>801</v>
      </c>
    </row>
    <row r="787" spans="12:20" x14ac:dyDescent="0.35">
      <c r="L787" t="str">
        <f ca="1">IFERROR(_xludf.XLOOKUP(C787,CodePath_Defaults!A:A,CodePath_Defaults!D:D,""),IFERROR(_xludf.XLOOKUP(B787,CodePath_Defaults!B:B,CodePath_Defaults!D:D,""),""))</f>
        <v/>
      </c>
      <c r="T787" t="s">
        <v>801</v>
      </c>
    </row>
    <row r="788" spans="12:20" x14ac:dyDescent="0.35">
      <c r="L788" t="str">
        <f ca="1">IFERROR(_xludf.XLOOKUP(C788,CodePath_Defaults!A:A,CodePath_Defaults!D:D,""),IFERROR(_xludf.XLOOKUP(B788,CodePath_Defaults!B:B,CodePath_Defaults!D:D,""),""))</f>
        <v/>
      </c>
      <c r="T788" t="s">
        <v>801</v>
      </c>
    </row>
    <row r="789" spans="12:20" x14ac:dyDescent="0.35">
      <c r="L789" t="str">
        <f ca="1">IFERROR(_xludf.XLOOKUP(C789,CodePath_Defaults!A:A,CodePath_Defaults!D:D,""),IFERROR(_xludf.XLOOKUP(B789,CodePath_Defaults!B:B,CodePath_Defaults!D:D,""),""))</f>
        <v/>
      </c>
      <c r="T789" t="s">
        <v>801</v>
      </c>
    </row>
    <row r="790" spans="12:20" x14ac:dyDescent="0.35">
      <c r="L790" t="str">
        <f ca="1">IFERROR(_xludf.XLOOKUP(C790,CodePath_Defaults!A:A,CodePath_Defaults!D:D,""),IFERROR(_xludf.XLOOKUP(B790,CodePath_Defaults!B:B,CodePath_Defaults!D:D,""),""))</f>
        <v/>
      </c>
      <c r="T790" t="s">
        <v>801</v>
      </c>
    </row>
    <row r="791" spans="12:20" x14ac:dyDescent="0.35">
      <c r="L791" t="str">
        <f ca="1">IFERROR(_xludf.XLOOKUP(C791,CodePath_Defaults!A:A,CodePath_Defaults!D:D,""),IFERROR(_xludf.XLOOKUP(B791,CodePath_Defaults!B:B,CodePath_Defaults!D:D,""),""))</f>
        <v/>
      </c>
      <c r="T791" t="s">
        <v>801</v>
      </c>
    </row>
    <row r="792" spans="12:20" x14ac:dyDescent="0.35">
      <c r="L792" t="str">
        <f ca="1">IFERROR(_xludf.XLOOKUP(C792,CodePath_Defaults!A:A,CodePath_Defaults!D:D,""),IFERROR(_xludf.XLOOKUP(B792,CodePath_Defaults!B:B,CodePath_Defaults!D:D,""),""))</f>
        <v/>
      </c>
      <c r="T792" t="s">
        <v>801</v>
      </c>
    </row>
    <row r="793" spans="12:20" x14ac:dyDescent="0.35">
      <c r="L793" t="str">
        <f ca="1">IFERROR(_xludf.XLOOKUP(C793,CodePath_Defaults!A:A,CodePath_Defaults!D:D,""),IFERROR(_xludf.XLOOKUP(B793,CodePath_Defaults!B:B,CodePath_Defaults!D:D,""),""))</f>
        <v/>
      </c>
      <c r="T793" t="s">
        <v>801</v>
      </c>
    </row>
    <row r="794" spans="12:20" x14ac:dyDescent="0.35">
      <c r="L794" t="str">
        <f ca="1">IFERROR(_xludf.XLOOKUP(C794,CodePath_Defaults!A:A,CodePath_Defaults!D:D,""),IFERROR(_xludf.XLOOKUP(B794,CodePath_Defaults!B:B,CodePath_Defaults!D:D,""),""))</f>
        <v/>
      </c>
      <c r="T794" t="s">
        <v>801</v>
      </c>
    </row>
    <row r="795" spans="12:20" x14ac:dyDescent="0.35">
      <c r="L795" t="str">
        <f ca="1">IFERROR(_xludf.XLOOKUP(C795,CodePath_Defaults!A:A,CodePath_Defaults!D:D,""),IFERROR(_xludf.XLOOKUP(B795,CodePath_Defaults!B:B,CodePath_Defaults!D:D,""),""))</f>
        <v/>
      </c>
      <c r="T795" t="s">
        <v>801</v>
      </c>
    </row>
    <row r="796" spans="12:20" x14ac:dyDescent="0.35">
      <c r="L796" t="str">
        <f ca="1">IFERROR(_xludf.XLOOKUP(C796,CodePath_Defaults!A:A,CodePath_Defaults!D:D,""),IFERROR(_xludf.XLOOKUP(B796,CodePath_Defaults!B:B,CodePath_Defaults!D:D,""),""))</f>
        <v/>
      </c>
      <c r="T796" t="s">
        <v>801</v>
      </c>
    </row>
    <row r="797" spans="12:20" x14ac:dyDescent="0.35">
      <c r="L797" t="str">
        <f ca="1">IFERROR(_xludf.XLOOKUP(C797,CodePath_Defaults!A:A,CodePath_Defaults!D:D,""),IFERROR(_xludf.XLOOKUP(B797,CodePath_Defaults!B:B,CodePath_Defaults!D:D,""),""))</f>
        <v/>
      </c>
      <c r="T797" t="s">
        <v>801</v>
      </c>
    </row>
    <row r="798" spans="12:20" x14ac:dyDescent="0.35">
      <c r="L798" t="str">
        <f ca="1">IFERROR(_xludf.XLOOKUP(C798,CodePath_Defaults!A:A,CodePath_Defaults!D:D,""),IFERROR(_xludf.XLOOKUP(B798,CodePath_Defaults!B:B,CodePath_Defaults!D:D,""),""))</f>
        <v/>
      </c>
      <c r="T798" t="s">
        <v>801</v>
      </c>
    </row>
    <row r="799" spans="12:20" x14ac:dyDescent="0.35">
      <c r="L799" t="str">
        <f ca="1">IFERROR(_xludf.XLOOKUP(C799,CodePath_Defaults!A:A,CodePath_Defaults!D:D,""),IFERROR(_xludf.XLOOKUP(B799,CodePath_Defaults!B:B,CodePath_Defaults!D:D,""),""))</f>
        <v/>
      </c>
      <c r="T799" t="s">
        <v>801</v>
      </c>
    </row>
    <row r="800" spans="12:20" x14ac:dyDescent="0.35">
      <c r="L800" t="str">
        <f ca="1">IFERROR(_xludf.XLOOKUP(C800,CodePath_Defaults!A:A,CodePath_Defaults!D:D,""),IFERROR(_xludf.XLOOKUP(B800,CodePath_Defaults!B:B,CodePath_Defaults!D:D,""),""))</f>
        <v/>
      </c>
      <c r="T800" t="s">
        <v>801</v>
      </c>
    </row>
    <row r="801" spans="12:20" x14ac:dyDescent="0.35">
      <c r="L801" t="str">
        <f ca="1">IFERROR(_xludf.XLOOKUP(C801,CodePath_Defaults!A:A,CodePath_Defaults!D:D,""),IFERROR(_xludf.XLOOKUP(B801,CodePath_Defaults!B:B,CodePath_Defaults!D:D,""),""))</f>
        <v/>
      </c>
      <c r="T801" t="s">
        <v>801</v>
      </c>
    </row>
    <row r="802" spans="12:20" x14ac:dyDescent="0.35">
      <c r="L802" t="str">
        <f ca="1">IFERROR(_xludf.XLOOKUP(C802,CodePath_Defaults!A:A,CodePath_Defaults!D:D,""),IFERROR(_xludf.XLOOKUP(B802,CodePath_Defaults!B:B,CodePath_Defaults!D:D,""),""))</f>
        <v/>
      </c>
      <c r="T802" t="s">
        <v>801</v>
      </c>
    </row>
    <row r="803" spans="12:20" x14ac:dyDescent="0.35">
      <c r="L803" t="str">
        <f ca="1">IFERROR(_xludf.XLOOKUP(C803,CodePath_Defaults!A:A,CodePath_Defaults!D:D,""),IFERROR(_xludf.XLOOKUP(B803,CodePath_Defaults!B:B,CodePath_Defaults!D:D,""),""))</f>
        <v/>
      </c>
      <c r="T803" t="s">
        <v>801</v>
      </c>
    </row>
    <row r="804" spans="12:20" x14ac:dyDescent="0.35">
      <c r="L804" t="str">
        <f ca="1">IFERROR(_xludf.XLOOKUP(C804,CodePath_Defaults!A:A,CodePath_Defaults!D:D,""),IFERROR(_xludf.XLOOKUP(B804,CodePath_Defaults!B:B,CodePath_Defaults!D:D,""),""))</f>
        <v/>
      </c>
      <c r="T804" t="s">
        <v>801</v>
      </c>
    </row>
    <row r="805" spans="12:20" x14ac:dyDescent="0.35">
      <c r="L805" t="str">
        <f ca="1">IFERROR(_xludf.XLOOKUP(C805,CodePath_Defaults!A:A,CodePath_Defaults!D:D,""),IFERROR(_xludf.XLOOKUP(B805,CodePath_Defaults!B:B,CodePath_Defaults!D:D,""),""))</f>
        <v/>
      </c>
      <c r="T805" t="s">
        <v>801</v>
      </c>
    </row>
    <row r="806" spans="12:20" x14ac:dyDescent="0.35">
      <c r="L806" t="str">
        <f ca="1">IFERROR(_xludf.XLOOKUP(C806,CodePath_Defaults!A:A,CodePath_Defaults!D:D,""),IFERROR(_xludf.XLOOKUP(B806,CodePath_Defaults!B:B,CodePath_Defaults!D:D,""),""))</f>
        <v/>
      </c>
      <c r="T806" t="s">
        <v>801</v>
      </c>
    </row>
    <row r="807" spans="12:20" x14ac:dyDescent="0.35">
      <c r="L807" t="str">
        <f ca="1">IFERROR(_xludf.XLOOKUP(C807,CodePath_Defaults!A:A,CodePath_Defaults!D:D,""),IFERROR(_xludf.XLOOKUP(B807,CodePath_Defaults!B:B,CodePath_Defaults!D:D,""),""))</f>
        <v/>
      </c>
      <c r="T807" t="s">
        <v>801</v>
      </c>
    </row>
    <row r="808" spans="12:20" x14ac:dyDescent="0.35">
      <c r="L808" t="str">
        <f ca="1">IFERROR(_xludf.XLOOKUP(C808,CodePath_Defaults!A:A,CodePath_Defaults!D:D,""),IFERROR(_xludf.XLOOKUP(B808,CodePath_Defaults!B:B,CodePath_Defaults!D:D,""),""))</f>
        <v/>
      </c>
      <c r="T808" t="s">
        <v>801</v>
      </c>
    </row>
    <row r="809" spans="12:20" x14ac:dyDescent="0.35">
      <c r="L809" t="str">
        <f ca="1">IFERROR(_xludf.XLOOKUP(C809,CodePath_Defaults!A:A,CodePath_Defaults!D:D,""),IFERROR(_xludf.XLOOKUP(B809,CodePath_Defaults!B:B,CodePath_Defaults!D:D,""),""))</f>
        <v/>
      </c>
      <c r="T809" t="s">
        <v>801</v>
      </c>
    </row>
    <row r="810" spans="12:20" x14ac:dyDescent="0.35">
      <c r="L810" t="str">
        <f ca="1">IFERROR(_xludf.XLOOKUP(C810,CodePath_Defaults!A:A,CodePath_Defaults!D:D,""),IFERROR(_xludf.XLOOKUP(B810,CodePath_Defaults!B:B,CodePath_Defaults!D:D,""),""))</f>
        <v/>
      </c>
      <c r="T810" t="s">
        <v>801</v>
      </c>
    </row>
    <row r="811" spans="12:20" x14ac:dyDescent="0.35">
      <c r="L811" t="str">
        <f ca="1">IFERROR(_xludf.XLOOKUP(C811,CodePath_Defaults!A:A,CodePath_Defaults!D:D,""),IFERROR(_xludf.XLOOKUP(B811,CodePath_Defaults!B:B,CodePath_Defaults!D:D,""),""))</f>
        <v/>
      </c>
      <c r="T811" t="s">
        <v>801</v>
      </c>
    </row>
    <row r="812" spans="12:20" x14ac:dyDescent="0.35">
      <c r="L812" t="str">
        <f ca="1">IFERROR(_xludf.XLOOKUP(C812,CodePath_Defaults!A:A,CodePath_Defaults!D:D,""),IFERROR(_xludf.XLOOKUP(B812,CodePath_Defaults!B:B,CodePath_Defaults!D:D,""),""))</f>
        <v/>
      </c>
      <c r="T812" t="s">
        <v>801</v>
      </c>
    </row>
    <row r="813" spans="12:20" x14ac:dyDescent="0.35">
      <c r="L813" t="str">
        <f ca="1">IFERROR(_xludf.XLOOKUP(C813,CodePath_Defaults!A:A,CodePath_Defaults!D:D,""),IFERROR(_xludf.XLOOKUP(B813,CodePath_Defaults!B:B,CodePath_Defaults!D:D,""),""))</f>
        <v/>
      </c>
      <c r="T813" t="s">
        <v>801</v>
      </c>
    </row>
    <row r="814" spans="12:20" x14ac:dyDescent="0.35">
      <c r="L814" t="str">
        <f ca="1">IFERROR(_xludf.XLOOKUP(C814,CodePath_Defaults!A:A,CodePath_Defaults!D:D,""),IFERROR(_xludf.XLOOKUP(B814,CodePath_Defaults!B:B,CodePath_Defaults!D:D,""),""))</f>
        <v/>
      </c>
      <c r="T814" t="s">
        <v>801</v>
      </c>
    </row>
    <row r="815" spans="12:20" x14ac:dyDescent="0.35">
      <c r="L815" t="str">
        <f ca="1">IFERROR(_xludf.XLOOKUP(C815,CodePath_Defaults!A:A,CodePath_Defaults!D:D,""),IFERROR(_xludf.XLOOKUP(B815,CodePath_Defaults!B:B,CodePath_Defaults!D:D,""),""))</f>
        <v/>
      </c>
      <c r="T815" t="s">
        <v>801</v>
      </c>
    </row>
    <row r="816" spans="12:20" x14ac:dyDescent="0.35">
      <c r="L816" t="str">
        <f ca="1">IFERROR(_xludf.XLOOKUP(C816,CodePath_Defaults!A:A,CodePath_Defaults!D:D,""),IFERROR(_xludf.XLOOKUP(B816,CodePath_Defaults!B:B,CodePath_Defaults!D:D,""),""))</f>
        <v/>
      </c>
      <c r="T816" t="s">
        <v>801</v>
      </c>
    </row>
    <row r="817" spans="12:20" x14ac:dyDescent="0.35">
      <c r="L817" t="str">
        <f ca="1">IFERROR(_xludf.XLOOKUP(C817,CodePath_Defaults!A:A,CodePath_Defaults!D:D,""),IFERROR(_xludf.XLOOKUP(B817,CodePath_Defaults!B:B,CodePath_Defaults!D:D,""),""))</f>
        <v/>
      </c>
      <c r="T817" t="s">
        <v>801</v>
      </c>
    </row>
    <row r="818" spans="12:20" x14ac:dyDescent="0.35">
      <c r="L818" t="str">
        <f ca="1">IFERROR(_xludf.XLOOKUP(C818,CodePath_Defaults!A:A,CodePath_Defaults!D:D,""),IFERROR(_xludf.XLOOKUP(B818,CodePath_Defaults!B:B,CodePath_Defaults!D:D,""),""))</f>
        <v/>
      </c>
      <c r="T818" t="s">
        <v>801</v>
      </c>
    </row>
    <row r="819" spans="12:20" x14ac:dyDescent="0.35">
      <c r="L819" t="str">
        <f ca="1">IFERROR(_xludf.XLOOKUP(C819,CodePath_Defaults!A:A,CodePath_Defaults!D:D,""),IFERROR(_xludf.XLOOKUP(B819,CodePath_Defaults!B:B,CodePath_Defaults!D:D,""),""))</f>
        <v/>
      </c>
      <c r="T819" t="s">
        <v>801</v>
      </c>
    </row>
    <row r="820" spans="12:20" x14ac:dyDescent="0.35">
      <c r="L820" t="str">
        <f ca="1">IFERROR(_xludf.XLOOKUP(C820,CodePath_Defaults!A:A,CodePath_Defaults!D:D,""),IFERROR(_xludf.XLOOKUP(B820,CodePath_Defaults!B:B,CodePath_Defaults!D:D,""),""))</f>
        <v/>
      </c>
      <c r="T820" t="s">
        <v>801</v>
      </c>
    </row>
    <row r="821" spans="12:20" x14ac:dyDescent="0.35">
      <c r="L821" t="str">
        <f ca="1">IFERROR(_xludf.XLOOKUP(C821,CodePath_Defaults!A:A,CodePath_Defaults!D:D,""),IFERROR(_xludf.XLOOKUP(B821,CodePath_Defaults!B:B,CodePath_Defaults!D:D,""),""))</f>
        <v/>
      </c>
      <c r="T821" t="s">
        <v>801</v>
      </c>
    </row>
    <row r="822" spans="12:20" x14ac:dyDescent="0.35">
      <c r="L822" t="str">
        <f ca="1">IFERROR(_xludf.XLOOKUP(C822,CodePath_Defaults!A:A,CodePath_Defaults!D:D,""),IFERROR(_xludf.XLOOKUP(B822,CodePath_Defaults!B:B,CodePath_Defaults!D:D,""),""))</f>
        <v/>
      </c>
      <c r="T822" t="s">
        <v>801</v>
      </c>
    </row>
    <row r="823" spans="12:20" x14ac:dyDescent="0.35">
      <c r="L823" t="str">
        <f ca="1">IFERROR(_xludf.XLOOKUP(C823,CodePath_Defaults!A:A,CodePath_Defaults!D:D,""),IFERROR(_xludf.XLOOKUP(B823,CodePath_Defaults!B:B,CodePath_Defaults!D:D,""),""))</f>
        <v/>
      </c>
      <c r="T823" t="s">
        <v>801</v>
      </c>
    </row>
    <row r="824" spans="12:20" x14ac:dyDescent="0.35">
      <c r="L824" t="str">
        <f ca="1">IFERROR(_xludf.XLOOKUP(C824,CodePath_Defaults!A:A,CodePath_Defaults!D:D,""),IFERROR(_xludf.XLOOKUP(B824,CodePath_Defaults!B:B,CodePath_Defaults!D:D,""),""))</f>
        <v/>
      </c>
      <c r="T824" t="s">
        <v>801</v>
      </c>
    </row>
    <row r="825" spans="12:20" x14ac:dyDescent="0.35">
      <c r="L825" t="str">
        <f ca="1">IFERROR(_xludf.XLOOKUP(C825,CodePath_Defaults!A:A,CodePath_Defaults!D:D,""),IFERROR(_xludf.XLOOKUP(B825,CodePath_Defaults!B:B,CodePath_Defaults!D:D,""),""))</f>
        <v/>
      </c>
      <c r="T825" t="s">
        <v>801</v>
      </c>
    </row>
    <row r="826" spans="12:20" x14ac:dyDescent="0.35">
      <c r="L826" t="str">
        <f ca="1">IFERROR(_xludf.XLOOKUP(C826,CodePath_Defaults!A:A,CodePath_Defaults!D:D,""),IFERROR(_xludf.XLOOKUP(B826,CodePath_Defaults!B:B,CodePath_Defaults!D:D,""),""))</f>
        <v/>
      </c>
      <c r="T826" t="s">
        <v>801</v>
      </c>
    </row>
    <row r="827" spans="12:20" x14ac:dyDescent="0.35">
      <c r="L827" t="str">
        <f ca="1">IFERROR(_xludf.XLOOKUP(C827,CodePath_Defaults!A:A,CodePath_Defaults!D:D,""),IFERROR(_xludf.XLOOKUP(B827,CodePath_Defaults!B:B,CodePath_Defaults!D:D,""),""))</f>
        <v/>
      </c>
      <c r="T827" t="s">
        <v>801</v>
      </c>
    </row>
    <row r="828" spans="12:20" x14ac:dyDescent="0.35">
      <c r="L828" t="str">
        <f ca="1">IFERROR(_xludf.XLOOKUP(C828,CodePath_Defaults!A:A,CodePath_Defaults!D:D,""),IFERROR(_xludf.XLOOKUP(B828,CodePath_Defaults!B:B,CodePath_Defaults!D:D,""),""))</f>
        <v/>
      </c>
      <c r="T828" t="s">
        <v>801</v>
      </c>
    </row>
    <row r="829" spans="12:20" x14ac:dyDescent="0.35">
      <c r="L829" t="str">
        <f ca="1">IFERROR(_xludf.XLOOKUP(C829,CodePath_Defaults!A:A,CodePath_Defaults!D:D,""),IFERROR(_xludf.XLOOKUP(B829,CodePath_Defaults!B:B,CodePath_Defaults!D:D,""),""))</f>
        <v/>
      </c>
      <c r="T829" t="s">
        <v>801</v>
      </c>
    </row>
    <row r="830" spans="12:20" x14ac:dyDescent="0.35">
      <c r="L830" t="str">
        <f ca="1">IFERROR(_xludf.XLOOKUP(C830,CodePath_Defaults!A:A,CodePath_Defaults!D:D,""),IFERROR(_xludf.XLOOKUP(B830,CodePath_Defaults!B:B,CodePath_Defaults!D:D,""),""))</f>
        <v/>
      </c>
      <c r="T830" t="s">
        <v>801</v>
      </c>
    </row>
    <row r="831" spans="12:20" x14ac:dyDescent="0.35">
      <c r="L831" t="str">
        <f ca="1">IFERROR(_xludf.XLOOKUP(C831,CodePath_Defaults!A:A,CodePath_Defaults!D:D,""),IFERROR(_xludf.XLOOKUP(B831,CodePath_Defaults!B:B,CodePath_Defaults!D:D,""),""))</f>
        <v/>
      </c>
      <c r="T831" t="s">
        <v>801</v>
      </c>
    </row>
    <row r="832" spans="12:20" x14ac:dyDescent="0.35">
      <c r="L832" t="str">
        <f ca="1">IFERROR(_xludf.XLOOKUP(C832,CodePath_Defaults!A:A,CodePath_Defaults!D:D,""),IFERROR(_xludf.XLOOKUP(B832,CodePath_Defaults!B:B,CodePath_Defaults!D:D,""),""))</f>
        <v/>
      </c>
      <c r="T832" t="s">
        <v>801</v>
      </c>
    </row>
    <row r="833" spans="12:20" x14ac:dyDescent="0.35">
      <c r="L833" t="str">
        <f ca="1">IFERROR(_xludf.XLOOKUP(C833,CodePath_Defaults!A:A,CodePath_Defaults!D:D,""),IFERROR(_xludf.XLOOKUP(B833,CodePath_Defaults!B:B,CodePath_Defaults!D:D,""),""))</f>
        <v/>
      </c>
      <c r="T833" t="s">
        <v>801</v>
      </c>
    </row>
    <row r="834" spans="12:20" x14ac:dyDescent="0.35">
      <c r="L834" t="str">
        <f ca="1">IFERROR(_xludf.XLOOKUP(C834,CodePath_Defaults!A:A,CodePath_Defaults!D:D,""),IFERROR(_xludf.XLOOKUP(B834,CodePath_Defaults!B:B,CodePath_Defaults!D:D,""),""))</f>
        <v/>
      </c>
      <c r="T834" t="s">
        <v>801</v>
      </c>
    </row>
    <row r="835" spans="12:20" x14ac:dyDescent="0.35">
      <c r="L835" t="str">
        <f ca="1">IFERROR(_xludf.XLOOKUP(C835,CodePath_Defaults!A:A,CodePath_Defaults!D:D,""),IFERROR(_xludf.XLOOKUP(B835,CodePath_Defaults!B:B,CodePath_Defaults!D:D,""),""))</f>
        <v/>
      </c>
      <c r="T835" t="s">
        <v>801</v>
      </c>
    </row>
    <row r="836" spans="12:20" x14ac:dyDescent="0.35">
      <c r="L836" t="str">
        <f ca="1">IFERROR(_xludf.XLOOKUP(C836,CodePath_Defaults!A:A,CodePath_Defaults!D:D,""),IFERROR(_xludf.XLOOKUP(B836,CodePath_Defaults!B:B,CodePath_Defaults!D:D,""),""))</f>
        <v/>
      </c>
      <c r="T836" t="s">
        <v>801</v>
      </c>
    </row>
    <row r="837" spans="12:20" x14ac:dyDescent="0.35">
      <c r="L837" t="str">
        <f ca="1">IFERROR(_xludf.XLOOKUP(C837,CodePath_Defaults!A:A,CodePath_Defaults!D:D,""),IFERROR(_xludf.XLOOKUP(B837,CodePath_Defaults!B:B,CodePath_Defaults!D:D,""),""))</f>
        <v/>
      </c>
      <c r="T837" t="s">
        <v>801</v>
      </c>
    </row>
    <row r="838" spans="12:20" x14ac:dyDescent="0.35">
      <c r="L838" t="str">
        <f ca="1">IFERROR(_xludf.XLOOKUP(C838,CodePath_Defaults!A:A,CodePath_Defaults!D:D,""),IFERROR(_xludf.XLOOKUP(B838,CodePath_Defaults!B:B,CodePath_Defaults!D:D,""),""))</f>
        <v/>
      </c>
      <c r="T838" t="s">
        <v>801</v>
      </c>
    </row>
    <row r="839" spans="12:20" x14ac:dyDescent="0.35">
      <c r="L839" t="str">
        <f ca="1">IFERROR(_xludf.XLOOKUP(C839,CodePath_Defaults!A:A,CodePath_Defaults!D:D,""),IFERROR(_xludf.XLOOKUP(B839,CodePath_Defaults!B:B,CodePath_Defaults!D:D,""),""))</f>
        <v/>
      </c>
      <c r="T839" t="s">
        <v>801</v>
      </c>
    </row>
    <row r="840" spans="12:20" x14ac:dyDescent="0.35">
      <c r="L840" t="str">
        <f ca="1">IFERROR(_xludf.XLOOKUP(C840,CodePath_Defaults!A:A,CodePath_Defaults!D:D,""),IFERROR(_xludf.XLOOKUP(B840,CodePath_Defaults!B:B,CodePath_Defaults!D:D,""),""))</f>
        <v/>
      </c>
      <c r="T840" t="s">
        <v>801</v>
      </c>
    </row>
    <row r="841" spans="12:20" x14ac:dyDescent="0.35">
      <c r="L841" t="str">
        <f ca="1">IFERROR(_xludf.XLOOKUP(C841,CodePath_Defaults!A:A,CodePath_Defaults!D:D,""),IFERROR(_xludf.XLOOKUP(B841,CodePath_Defaults!B:B,CodePath_Defaults!D:D,""),""))</f>
        <v/>
      </c>
      <c r="T841" t="s">
        <v>801</v>
      </c>
    </row>
    <row r="842" spans="12:20" x14ac:dyDescent="0.35">
      <c r="L842" t="str">
        <f ca="1">IFERROR(_xludf.XLOOKUP(C842,CodePath_Defaults!A:A,CodePath_Defaults!D:D,""),IFERROR(_xludf.XLOOKUP(B842,CodePath_Defaults!B:B,CodePath_Defaults!D:D,""),""))</f>
        <v/>
      </c>
      <c r="T842" t="s">
        <v>801</v>
      </c>
    </row>
    <row r="843" spans="12:20" x14ac:dyDescent="0.35">
      <c r="L843" t="str">
        <f ca="1">IFERROR(_xludf.XLOOKUP(C843,CodePath_Defaults!A:A,CodePath_Defaults!D:D,""),IFERROR(_xludf.XLOOKUP(B843,CodePath_Defaults!B:B,CodePath_Defaults!D:D,""),""))</f>
        <v/>
      </c>
      <c r="T843" t="s">
        <v>801</v>
      </c>
    </row>
    <row r="844" spans="12:20" x14ac:dyDescent="0.35">
      <c r="L844" t="str">
        <f ca="1">IFERROR(_xludf.XLOOKUP(C844,CodePath_Defaults!A:A,CodePath_Defaults!D:D,""),IFERROR(_xludf.XLOOKUP(B844,CodePath_Defaults!B:B,CodePath_Defaults!D:D,""),""))</f>
        <v/>
      </c>
      <c r="T844" t="s">
        <v>801</v>
      </c>
    </row>
    <row r="845" spans="12:20" x14ac:dyDescent="0.35">
      <c r="L845" t="str">
        <f ca="1">IFERROR(_xludf.XLOOKUP(C845,CodePath_Defaults!A:A,CodePath_Defaults!D:D,""),IFERROR(_xludf.XLOOKUP(B845,CodePath_Defaults!B:B,CodePath_Defaults!D:D,""),""))</f>
        <v/>
      </c>
      <c r="T845" t="s">
        <v>801</v>
      </c>
    </row>
    <row r="846" spans="12:20" x14ac:dyDescent="0.35">
      <c r="L846" t="str">
        <f ca="1">IFERROR(_xludf.XLOOKUP(C846,CodePath_Defaults!A:A,CodePath_Defaults!D:D,""),IFERROR(_xludf.XLOOKUP(B846,CodePath_Defaults!B:B,CodePath_Defaults!D:D,""),""))</f>
        <v/>
      </c>
      <c r="T846" t="s">
        <v>801</v>
      </c>
    </row>
    <row r="847" spans="12:20" x14ac:dyDescent="0.35">
      <c r="L847" t="str">
        <f ca="1">IFERROR(_xludf.XLOOKUP(C847,CodePath_Defaults!A:A,CodePath_Defaults!D:D,""),IFERROR(_xludf.XLOOKUP(B847,CodePath_Defaults!B:B,CodePath_Defaults!D:D,""),""))</f>
        <v/>
      </c>
      <c r="T847" t="s">
        <v>801</v>
      </c>
    </row>
    <row r="848" spans="12:20" x14ac:dyDescent="0.35">
      <c r="L848" t="str">
        <f ca="1">IFERROR(_xludf.XLOOKUP(C848,CodePath_Defaults!A:A,CodePath_Defaults!D:D,""),IFERROR(_xludf.XLOOKUP(B848,CodePath_Defaults!B:B,CodePath_Defaults!D:D,""),""))</f>
        <v/>
      </c>
      <c r="T848" t="s">
        <v>801</v>
      </c>
    </row>
    <row r="849" spans="12:20" x14ac:dyDescent="0.35">
      <c r="L849" t="str">
        <f ca="1">IFERROR(_xludf.XLOOKUP(C849,CodePath_Defaults!A:A,CodePath_Defaults!D:D,""),IFERROR(_xludf.XLOOKUP(B849,CodePath_Defaults!B:B,CodePath_Defaults!D:D,""),""))</f>
        <v/>
      </c>
      <c r="T849" t="s">
        <v>801</v>
      </c>
    </row>
    <row r="850" spans="12:20" x14ac:dyDescent="0.35">
      <c r="L850" t="str">
        <f ca="1">IFERROR(_xludf.XLOOKUP(C850,CodePath_Defaults!A:A,CodePath_Defaults!D:D,""),IFERROR(_xludf.XLOOKUP(B850,CodePath_Defaults!B:B,CodePath_Defaults!D:D,""),""))</f>
        <v/>
      </c>
      <c r="T850" t="s">
        <v>801</v>
      </c>
    </row>
    <row r="851" spans="12:20" x14ac:dyDescent="0.35">
      <c r="L851" t="str">
        <f ca="1">IFERROR(_xludf.XLOOKUP(C851,CodePath_Defaults!A:A,CodePath_Defaults!D:D,""),IFERROR(_xludf.XLOOKUP(B851,CodePath_Defaults!B:B,CodePath_Defaults!D:D,""),""))</f>
        <v/>
      </c>
      <c r="T851" t="s">
        <v>801</v>
      </c>
    </row>
    <row r="852" spans="12:20" x14ac:dyDescent="0.35">
      <c r="L852" t="str">
        <f ca="1">IFERROR(_xludf.XLOOKUP(C852,CodePath_Defaults!A:A,CodePath_Defaults!D:D,""),IFERROR(_xludf.XLOOKUP(B852,CodePath_Defaults!B:B,CodePath_Defaults!D:D,""),""))</f>
        <v/>
      </c>
      <c r="T852" t="s">
        <v>801</v>
      </c>
    </row>
    <row r="853" spans="12:20" x14ac:dyDescent="0.35">
      <c r="L853" t="str">
        <f ca="1">IFERROR(_xludf.XLOOKUP(C853,CodePath_Defaults!A:A,CodePath_Defaults!D:D,""),IFERROR(_xludf.XLOOKUP(B853,CodePath_Defaults!B:B,CodePath_Defaults!D:D,""),""))</f>
        <v/>
      </c>
      <c r="T853" t="s">
        <v>801</v>
      </c>
    </row>
    <row r="854" spans="12:20" x14ac:dyDescent="0.35">
      <c r="L854" t="str">
        <f ca="1">IFERROR(_xludf.XLOOKUP(C854,CodePath_Defaults!A:A,CodePath_Defaults!D:D,""),IFERROR(_xludf.XLOOKUP(B854,CodePath_Defaults!B:B,CodePath_Defaults!D:D,""),""))</f>
        <v/>
      </c>
      <c r="T854" t="s">
        <v>801</v>
      </c>
    </row>
    <row r="855" spans="12:20" x14ac:dyDescent="0.35">
      <c r="L855" t="str">
        <f ca="1">IFERROR(_xludf.XLOOKUP(C855,CodePath_Defaults!A:A,CodePath_Defaults!D:D,""),IFERROR(_xludf.XLOOKUP(B855,CodePath_Defaults!B:B,CodePath_Defaults!D:D,""),""))</f>
        <v/>
      </c>
      <c r="T855" t="s">
        <v>801</v>
      </c>
    </row>
    <row r="856" spans="12:20" x14ac:dyDescent="0.35">
      <c r="L856" t="str">
        <f ca="1">IFERROR(_xludf.XLOOKUP(C856,CodePath_Defaults!A:A,CodePath_Defaults!D:D,""),IFERROR(_xludf.XLOOKUP(B856,CodePath_Defaults!B:B,CodePath_Defaults!D:D,""),""))</f>
        <v/>
      </c>
      <c r="T856" t="s">
        <v>801</v>
      </c>
    </row>
    <row r="857" spans="12:20" x14ac:dyDescent="0.35">
      <c r="L857" t="str">
        <f ca="1">IFERROR(_xludf.XLOOKUP(C857,CodePath_Defaults!A:A,CodePath_Defaults!D:D,""),IFERROR(_xludf.XLOOKUP(B857,CodePath_Defaults!B:B,CodePath_Defaults!D:D,""),""))</f>
        <v/>
      </c>
      <c r="T857" t="s">
        <v>801</v>
      </c>
    </row>
    <row r="858" spans="12:20" x14ac:dyDescent="0.35">
      <c r="L858" t="str">
        <f ca="1">IFERROR(_xludf.XLOOKUP(C858,CodePath_Defaults!A:A,CodePath_Defaults!D:D,""),IFERROR(_xludf.XLOOKUP(B858,CodePath_Defaults!B:B,CodePath_Defaults!D:D,""),""))</f>
        <v/>
      </c>
      <c r="T858" t="s">
        <v>801</v>
      </c>
    </row>
    <row r="859" spans="12:20" x14ac:dyDescent="0.35">
      <c r="L859" t="str">
        <f ca="1">IFERROR(_xludf.XLOOKUP(C859,CodePath_Defaults!A:A,CodePath_Defaults!D:D,""),IFERROR(_xludf.XLOOKUP(B859,CodePath_Defaults!B:B,CodePath_Defaults!D:D,""),""))</f>
        <v/>
      </c>
      <c r="T859" t="s">
        <v>801</v>
      </c>
    </row>
    <row r="860" spans="12:20" x14ac:dyDescent="0.35">
      <c r="L860" t="str">
        <f ca="1">IFERROR(_xludf.XLOOKUP(C860,CodePath_Defaults!A:A,CodePath_Defaults!D:D,""),IFERROR(_xludf.XLOOKUP(B860,CodePath_Defaults!B:B,CodePath_Defaults!D:D,""),""))</f>
        <v/>
      </c>
      <c r="T860" t="s">
        <v>801</v>
      </c>
    </row>
    <row r="861" spans="12:20" x14ac:dyDescent="0.35">
      <c r="L861" t="str">
        <f ca="1">IFERROR(_xludf.XLOOKUP(C861,CodePath_Defaults!A:A,CodePath_Defaults!D:D,""),IFERROR(_xludf.XLOOKUP(B861,CodePath_Defaults!B:B,CodePath_Defaults!D:D,""),""))</f>
        <v/>
      </c>
      <c r="T861" t="s">
        <v>801</v>
      </c>
    </row>
    <row r="862" spans="12:20" x14ac:dyDescent="0.35">
      <c r="L862" t="str">
        <f ca="1">IFERROR(_xludf.XLOOKUP(C862,CodePath_Defaults!A:A,CodePath_Defaults!D:D,""),IFERROR(_xludf.XLOOKUP(B862,CodePath_Defaults!B:B,CodePath_Defaults!D:D,""),""))</f>
        <v/>
      </c>
      <c r="T862" t="s">
        <v>801</v>
      </c>
    </row>
    <row r="863" spans="12:20" x14ac:dyDescent="0.35">
      <c r="L863" t="str">
        <f ca="1">IFERROR(_xludf.XLOOKUP(C863,CodePath_Defaults!A:A,CodePath_Defaults!D:D,""),IFERROR(_xludf.XLOOKUP(B863,CodePath_Defaults!B:B,CodePath_Defaults!D:D,""),""))</f>
        <v/>
      </c>
      <c r="T863" t="s">
        <v>801</v>
      </c>
    </row>
    <row r="864" spans="12:20" x14ac:dyDescent="0.35">
      <c r="L864" t="str">
        <f ca="1">IFERROR(_xludf.XLOOKUP(C864,CodePath_Defaults!A:A,CodePath_Defaults!D:D,""),IFERROR(_xludf.XLOOKUP(B864,CodePath_Defaults!B:B,CodePath_Defaults!D:D,""),""))</f>
        <v/>
      </c>
      <c r="T864" t="s">
        <v>801</v>
      </c>
    </row>
    <row r="865" spans="12:20" x14ac:dyDescent="0.35">
      <c r="L865" t="str">
        <f ca="1">IFERROR(_xludf.XLOOKUP(C865,CodePath_Defaults!A:A,CodePath_Defaults!D:D,""),IFERROR(_xludf.XLOOKUP(B865,CodePath_Defaults!B:B,CodePath_Defaults!D:D,""),""))</f>
        <v/>
      </c>
      <c r="T865" t="s">
        <v>801</v>
      </c>
    </row>
    <row r="866" spans="12:20" x14ac:dyDescent="0.35">
      <c r="L866" t="str">
        <f ca="1">IFERROR(_xludf.XLOOKUP(C866,CodePath_Defaults!A:A,CodePath_Defaults!D:D,""),IFERROR(_xludf.XLOOKUP(B866,CodePath_Defaults!B:B,CodePath_Defaults!D:D,""),""))</f>
        <v/>
      </c>
      <c r="T866" t="s">
        <v>801</v>
      </c>
    </row>
    <row r="867" spans="12:20" x14ac:dyDescent="0.35">
      <c r="L867" t="str">
        <f ca="1">IFERROR(_xludf.XLOOKUP(C867,CodePath_Defaults!A:A,CodePath_Defaults!D:D,""),IFERROR(_xludf.XLOOKUP(B867,CodePath_Defaults!B:B,CodePath_Defaults!D:D,""),""))</f>
        <v/>
      </c>
      <c r="T867" t="s">
        <v>801</v>
      </c>
    </row>
    <row r="868" spans="12:20" x14ac:dyDescent="0.35">
      <c r="L868" t="str">
        <f ca="1">IFERROR(_xludf.XLOOKUP(C868,CodePath_Defaults!A:A,CodePath_Defaults!D:D,""),IFERROR(_xludf.XLOOKUP(B868,CodePath_Defaults!B:B,CodePath_Defaults!D:D,""),""))</f>
        <v/>
      </c>
      <c r="T868" t="s">
        <v>801</v>
      </c>
    </row>
    <row r="869" spans="12:20" x14ac:dyDescent="0.35">
      <c r="L869" t="str">
        <f ca="1">IFERROR(_xludf.XLOOKUP(C869,CodePath_Defaults!A:A,CodePath_Defaults!D:D,""),IFERROR(_xludf.XLOOKUP(B869,CodePath_Defaults!B:B,CodePath_Defaults!D:D,""),""))</f>
        <v/>
      </c>
      <c r="T869" t="s">
        <v>801</v>
      </c>
    </row>
    <row r="870" spans="12:20" x14ac:dyDescent="0.35">
      <c r="L870" t="str">
        <f ca="1">IFERROR(_xludf.XLOOKUP(C870,CodePath_Defaults!A:A,CodePath_Defaults!D:D,""),IFERROR(_xludf.XLOOKUP(B870,CodePath_Defaults!B:B,CodePath_Defaults!D:D,""),""))</f>
        <v/>
      </c>
      <c r="T870" t="s">
        <v>801</v>
      </c>
    </row>
    <row r="871" spans="12:20" x14ac:dyDescent="0.35">
      <c r="L871" t="str">
        <f ca="1">IFERROR(_xludf.XLOOKUP(C871,CodePath_Defaults!A:A,CodePath_Defaults!D:D,""),IFERROR(_xludf.XLOOKUP(B871,CodePath_Defaults!B:B,CodePath_Defaults!D:D,""),""))</f>
        <v/>
      </c>
      <c r="T871" t="s">
        <v>801</v>
      </c>
    </row>
    <row r="872" spans="12:20" x14ac:dyDescent="0.35">
      <c r="L872" t="str">
        <f ca="1">IFERROR(_xludf.XLOOKUP(C872,CodePath_Defaults!A:A,CodePath_Defaults!D:D,""),IFERROR(_xludf.XLOOKUP(B872,CodePath_Defaults!B:B,CodePath_Defaults!D:D,""),""))</f>
        <v/>
      </c>
      <c r="T872" t="s">
        <v>801</v>
      </c>
    </row>
    <row r="873" spans="12:20" x14ac:dyDescent="0.35">
      <c r="L873" t="str">
        <f ca="1">IFERROR(_xludf.XLOOKUP(C873,CodePath_Defaults!A:A,CodePath_Defaults!D:D,""),IFERROR(_xludf.XLOOKUP(B873,CodePath_Defaults!B:B,CodePath_Defaults!D:D,""),""))</f>
        <v/>
      </c>
      <c r="T873" t="s">
        <v>801</v>
      </c>
    </row>
    <row r="874" spans="12:20" x14ac:dyDescent="0.35">
      <c r="L874" t="str">
        <f ca="1">IFERROR(_xludf.XLOOKUP(C874,CodePath_Defaults!A:A,CodePath_Defaults!D:D,""),IFERROR(_xludf.XLOOKUP(B874,CodePath_Defaults!B:B,CodePath_Defaults!D:D,""),""))</f>
        <v/>
      </c>
      <c r="T874" t="s">
        <v>801</v>
      </c>
    </row>
    <row r="875" spans="12:20" x14ac:dyDescent="0.35">
      <c r="L875" t="str">
        <f ca="1">IFERROR(_xludf.XLOOKUP(C875,CodePath_Defaults!A:A,CodePath_Defaults!D:D,""),IFERROR(_xludf.XLOOKUP(B875,CodePath_Defaults!B:B,CodePath_Defaults!D:D,""),""))</f>
        <v/>
      </c>
      <c r="T875" t="s">
        <v>801</v>
      </c>
    </row>
    <row r="876" spans="12:20" x14ac:dyDescent="0.35">
      <c r="L876" t="str">
        <f ca="1">IFERROR(_xludf.XLOOKUP(C876,CodePath_Defaults!A:A,CodePath_Defaults!D:D,""),IFERROR(_xludf.XLOOKUP(B876,CodePath_Defaults!B:B,CodePath_Defaults!D:D,""),""))</f>
        <v/>
      </c>
      <c r="T876" t="s">
        <v>801</v>
      </c>
    </row>
    <row r="877" spans="12:20" x14ac:dyDescent="0.35">
      <c r="L877" t="str">
        <f ca="1">IFERROR(_xludf.XLOOKUP(C877,CodePath_Defaults!A:A,CodePath_Defaults!D:D,""),IFERROR(_xludf.XLOOKUP(B877,CodePath_Defaults!B:B,CodePath_Defaults!D:D,""),""))</f>
        <v/>
      </c>
      <c r="T877" t="s">
        <v>801</v>
      </c>
    </row>
    <row r="878" spans="12:20" x14ac:dyDescent="0.35">
      <c r="L878" t="str">
        <f ca="1">IFERROR(_xludf.XLOOKUP(C878,CodePath_Defaults!A:A,CodePath_Defaults!D:D,""),IFERROR(_xludf.XLOOKUP(B878,CodePath_Defaults!B:B,CodePath_Defaults!D:D,""),""))</f>
        <v/>
      </c>
      <c r="T878" t="s">
        <v>801</v>
      </c>
    </row>
    <row r="879" spans="12:20" x14ac:dyDescent="0.35">
      <c r="L879" t="str">
        <f ca="1">IFERROR(_xludf.XLOOKUP(C879,CodePath_Defaults!A:A,CodePath_Defaults!D:D,""),IFERROR(_xludf.XLOOKUP(B879,CodePath_Defaults!B:B,CodePath_Defaults!D:D,""),""))</f>
        <v/>
      </c>
      <c r="T879" t="s">
        <v>801</v>
      </c>
    </row>
    <row r="880" spans="12:20" x14ac:dyDescent="0.35">
      <c r="L880" t="str">
        <f ca="1">IFERROR(_xludf.XLOOKUP(C880,CodePath_Defaults!A:A,CodePath_Defaults!D:D,""),IFERROR(_xludf.XLOOKUP(B880,CodePath_Defaults!B:B,CodePath_Defaults!D:D,""),""))</f>
        <v/>
      </c>
      <c r="T880" t="s">
        <v>801</v>
      </c>
    </row>
    <row r="881" spans="12:20" x14ac:dyDescent="0.35">
      <c r="L881" t="str">
        <f ca="1">IFERROR(_xludf.XLOOKUP(C881,CodePath_Defaults!A:A,CodePath_Defaults!D:D,""),IFERROR(_xludf.XLOOKUP(B881,CodePath_Defaults!B:B,CodePath_Defaults!D:D,""),""))</f>
        <v/>
      </c>
      <c r="T881" t="s">
        <v>801</v>
      </c>
    </row>
    <row r="882" spans="12:20" x14ac:dyDescent="0.35">
      <c r="L882" t="str">
        <f ca="1">IFERROR(_xludf.XLOOKUP(C882,CodePath_Defaults!A:A,CodePath_Defaults!D:D,""),IFERROR(_xludf.XLOOKUP(B882,CodePath_Defaults!B:B,CodePath_Defaults!D:D,""),""))</f>
        <v/>
      </c>
      <c r="T882" t="s">
        <v>801</v>
      </c>
    </row>
    <row r="883" spans="12:20" x14ac:dyDescent="0.35">
      <c r="L883" t="str">
        <f ca="1">IFERROR(_xludf.XLOOKUP(C883,CodePath_Defaults!A:A,CodePath_Defaults!D:D,""),IFERROR(_xludf.XLOOKUP(B883,CodePath_Defaults!B:B,CodePath_Defaults!D:D,""),""))</f>
        <v/>
      </c>
      <c r="T883" t="s">
        <v>801</v>
      </c>
    </row>
    <row r="884" spans="12:20" x14ac:dyDescent="0.35">
      <c r="L884" t="str">
        <f ca="1">IFERROR(_xludf.XLOOKUP(C884,CodePath_Defaults!A:A,CodePath_Defaults!D:D,""),IFERROR(_xludf.XLOOKUP(B884,CodePath_Defaults!B:B,CodePath_Defaults!D:D,""),""))</f>
        <v/>
      </c>
      <c r="T884" t="s">
        <v>801</v>
      </c>
    </row>
    <row r="885" spans="12:20" x14ac:dyDescent="0.35">
      <c r="L885" t="str">
        <f ca="1">IFERROR(_xludf.XLOOKUP(C885,CodePath_Defaults!A:A,CodePath_Defaults!D:D,""),IFERROR(_xludf.XLOOKUP(B885,CodePath_Defaults!B:B,CodePath_Defaults!D:D,""),""))</f>
        <v/>
      </c>
      <c r="T885" t="s">
        <v>801</v>
      </c>
    </row>
    <row r="886" spans="12:20" x14ac:dyDescent="0.35">
      <c r="L886" t="str">
        <f ca="1">IFERROR(_xludf.XLOOKUP(C886,CodePath_Defaults!A:A,CodePath_Defaults!D:D,""),IFERROR(_xludf.XLOOKUP(B886,CodePath_Defaults!B:B,CodePath_Defaults!D:D,""),""))</f>
        <v/>
      </c>
      <c r="T886" t="s">
        <v>801</v>
      </c>
    </row>
    <row r="887" spans="12:20" x14ac:dyDescent="0.35">
      <c r="L887" t="str">
        <f ca="1">IFERROR(_xludf.XLOOKUP(C887,CodePath_Defaults!A:A,CodePath_Defaults!D:D,""),IFERROR(_xludf.XLOOKUP(B887,CodePath_Defaults!B:B,CodePath_Defaults!D:D,""),""))</f>
        <v/>
      </c>
      <c r="T887" t="s">
        <v>801</v>
      </c>
    </row>
    <row r="888" spans="12:20" x14ac:dyDescent="0.35">
      <c r="L888" t="str">
        <f ca="1">IFERROR(_xludf.XLOOKUP(C888,CodePath_Defaults!A:A,CodePath_Defaults!D:D,""),IFERROR(_xludf.XLOOKUP(B888,CodePath_Defaults!B:B,CodePath_Defaults!D:D,""),""))</f>
        <v/>
      </c>
      <c r="T888" t="s">
        <v>801</v>
      </c>
    </row>
    <row r="889" spans="12:20" x14ac:dyDescent="0.35">
      <c r="L889" t="str">
        <f ca="1">IFERROR(_xludf.XLOOKUP(C889,CodePath_Defaults!A:A,CodePath_Defaults!D:D,""),IFERROR(_xludf.XLOOKUP(B889,CodePath_Defaults!B:B,CodePath_Defaults!D:D,""),""))</f>
        <v/>
      </c>
      <c r="T889" t="s">
        <v>801</v>
      </c>
    </row>
    <row r="890" spans="12:20" x14ac:dyDescent="0.35">
      <c r="L890" t="str">
        <f ca="1">IFERROR(_xludf.XLOOKUP(C890,CodePath_Defaults!A:A,CodePath_Defaults!D:D,""),IFERROR(_xludf.XLOOKUP(B890,CodePath_Defaults!B:B,CodePath_Defaults!D:D,""),""))</f>
        <v/>
      </c>
      <c r="T890" t="s">
        <v>801</v>
      </c>
    </row>
    <row r="891" spans="12:20" x14ac:dyDescent="0.35">
      <c r="L891" t="str">
        <f ca="1">IFERROR(_xludf.XLOOKUP(C891,CodePath_Defaults!A:A,CodePath_Defaults!D:D,""),IFERROR(_xludf.XLOOKUP(B891,CodePath_Defaults!B:B,CodePath_Defaults!D:D,""),""))</f>
        <v/>
      </c>
      <c r="T891" t="s">
        <v>801</v>
      </c>
    </row>
    <row r="892" spans="12:20" x14ac:dyDescent="0.35">
      <c r="L892" t="str">
        <f ca="1">IFERROR(_xludf.XLOOKUP(C892,CodePath_Defaults!A:A,CodePath_Defaults!D:D,""),IFERROR(_xludf.XLOOKUP(B892,CodePath_Defaults!B:B,CodePath_Defaults!D:D,""),""))</f>
        <v/>
      </c>
      <c r="T892" t="s">
        <v>801</v>
      </c>
    </row>
    <row r="893" spans="12:20" x14ac:dyDescent="0.35">
      <c r="L893" t="str">
        <f ca="1">IFERROR(_xludf.XLOOKUP(C893,CodePath_Defaults!A:A,CodePath_Defaults!D:D,""),IFERROR(_xludf.XLOOKUP(B893,CodePath_Defaults!B:B,CodePath_Defaults!D:D,""),""))</f>
        <v/>
      </c>
      <c r="T893" t="s">
        <v>801</v>
      </c>
    </row>
    <row r="894" spans="12:20" x14ac:dyDescent="0.35">
      <c r="L894" t="str">
        <f ca="1">IFERROR(_xludf.XLOOKUP(C894,CodePath_Defaults!A:A,CodePath_Defaults!D:D,""),IFERROR(_xludf.XLOOKUP(B894,CodePath_Defaults!B:B,CodePath_Defaults!D:D,""),""))</f>
        <v/>
      </c>
      <c r="T894" t="s">
        <v>801</v>
      </c>
    </row>
    <row r="895" spans="12:20" x14ac:dyDescent="0.35">
      <c r="L895" t="str">
        <f ca="1">IFERROR(_xludf.XLOOKUP(C895,CodePath_Defaults!A:A,CodePath_Defaults!D:D,""),IFERROR(_xludf.XLOOKUP(B895,CodePath_Defaults!B:B,CodePath_Defaults!D:D,""),""))</f>
        <v/>
      </c>
      <c r="T895" t="s">
        <v>801</v>
      </c>
    </row>
    <row r="896" spans="12:20" x14ac:dyDescent="0.35">
      <c r="L896" t="str">
        <f ca="1">IFERROR(_xludf.XLOOKUP(C896,CodePath_Defaults!A:A,CodePath_Defaults!D:D,""),IFERROR(_xludf.XLOOKUP(B896,CodePath_Defaults!B:B,CodePath_Defaults!D:D,""),""))</f>
        <v/>
      </c>
      <c r="T896" t="s">
        <v>801</v>
      </c>
    </row>
    <row r="897" spans="12:20" x14ac:dyDescent="0.35">
      <c r="L897" t="str">
        <f ca="1">IFERROR(_xludf.XLOOKUP(C897,CodePath_Defaults!A:A,CodePath_Defaults!D:D,""),IFERROR(_xludf.XLOOKUP(B897,CodePath_Defaults!B:B,CodePath_Defaults!D:D,""),""))</f>
        <v/>
      </c>
      <c r="T897" t="s">
        <v>801</v>
      </c>
    </row>
    <row r="898" spans="12:20" x14ac:dyDescent="0.35">
      <c r="L898" t="str">
        <f ca="1">IFERROR(_xludf.XLOOKUP(C898,CodePath_Defaults!A:A,CodePath_Defaults!D:D,""),IFERROR(_xludf.XLOOKUP(B898,CodePath_Defaults!B:B,CodePath_Defaults!D:D,""),""))</f>
        <v/>
      </c>
      <c r="T898" t="s">
        <v>801</v>
      </c>
    </row>
    <row r="899" spans="12:20" x14ac:dyDescent="0.35">
      <c r="L899" t="str">
        <f ca="1">IFERROR(_xludf.XLOOKUP(C899,CodePath_Defaults!A:A,CodePath_Defaults!D:D,""),IFERROR(_xludf.XLOOKUP(B899,CodePath_Defaults!B:B,CodePath_Defaults!D:D,""),""))</f>
        <v/>
      </c>
      <c r="T899" t="s">
        <v>801</v>
      </c>
    </row>
    <row r="900" spans="12:20" x14ac:dyDescent="0.35">
      <c r="L900" t="str">
        <f ca="1">IFERROR(_xludf.XLOOKUP(C900,CodePath_Defaults!A:A,CodePath_Defaults!D:D,""),IFERROR(_xludf.XLOOKUP(B900,CodePath_Defaults!B:B,CodePath_Defaults!D:D,""),""))</f>
        <v/>
      </c>
      <c r="T900" t="s">
        <v>801</v>
      </c>
    </row>
    <row r="901" spans="12:20" x14ac:dyDescent="0.35">
      <c r="L901" t="str">
        <f ca="1">IFERROR(_xludf.XLOOKUP(C901,CodePath_Defaults!A:A,CodePath_Defaults!D:D,""),IFERROR(_xludf.XLOOKUP(B901,CodePath_Defaults!B:B,CodePath_Defaults!D:D,""),""))</f>
        <v/>
      </c>
      <c r="T901" t="s">
        <v>801</v>
      </c>
    </row>
    <row r="902" spans="12:20" x14ac:dyDescent="0.35">
      <c r="L902" t="str">
        <f ca="1">IFERROR(_xludf.XLOOKUP(C902,CodePath_Defaults!A:A,CodePath_Defaults!D:D,""),IFERROR(_xludf.XLOOKUP(B902,CodePath_Defaults!B:B,CodePath_Defaults!D:D,""),""))</f>
        <v/>
      </c>
      <c r="T902" t="s">
        <v>801</v>
      </c>
    </row>
    <row r="903" spans="12:20" x14ac:dyDescent="0.35">
      <c r="L903" t="str">
        <f ca="1">IFERROR(_xludf.XLOOKUP(C903,CodePath_Defaults!A:A,CodePath_Defaults!D:D,""),IFERROR(_xludf.XLOOKUP(B903,CodePath_Defaults!B:B,CodePath_Defaults!D:D,""),""))</f>
        <v/>
      </c>
      <c r="T903" t="s">
        <v>801</v>
      </c>
    </row>
    <row r="904" spans="12:20" x14ac:dyDescent="0.35">
      <c r="L904" t="str">
        <f ca="1">IFERROR(_xludf.XLOOKUP(C904,CodePath_Defaults!A:A,CodePath_Defaults!D:D,""),IFERROR(_xludf.XLOOKUP(B904,CodePath_Defaults!B:B,CodePath_Defaults!D:D,""),""))</f>
        <v/>
      </c>
      <c r="T904" t="s">
        <v>801</v>
      </c>
    </row>
    <row r="905" spans="12:20" x14ac:dyDescent="0.35">
      <c r="L905" t="str">
        <f ca="1">IFERROR(_xludf.XLOOKUP(C905,CodePath_Defaults!A:A,CodePath_Defaults!D:D,""),IFERROR(_xludf.XLOOKUP(B905,CodePath_Defaults!B:B,CodePath_Defaults!D:D,""),""))</f>
        <v/>
      </c>
      <c r="T905" t="s">
        <v>801</v>
      </c>
    </row>
    <row r="906" spans="12:20" x14ac:dyDescent="0.35">
      <c r="L906" t="str">
        <f ca="1">IFERROR(_xludf.XLOOKUP(C906,CodePath_Defaults!A:A,CodePath_Defaults!D:D,""),IFERROR(_xludf.XLOOKUP(B906,CodePath_Defaults!B:B,CodePath_Defaults!D:D,""),""))</f>
        <v/>
      </c>
      <c r="T906" t="s">
        <v>801</v>
      </c>
    </row>
    <row r="907" spans="12:20" x14ac:dyDescent="0.35">
      <c r="L907" t="str">
        <f ca="1">IFERROR(_xludf.XLOOKUP(C907,CodePath_Defaults!A:A,CodePath_Defaults!D:D,""),IFERROR(_xludf.XLOOKUP(B907,CodePath_Defaults!B:B,CodePath_Defaults!D:D,""),""))</f>
        <v/>
      </c>
      <c r="T907" t="s">
        <v>801</v>
      </c>
    </row>
    <row r="908" spans="12:20" x14ac:dyDescent="0.35">
      <c r="L908" t="str">
        <f ca="1">IFERROR(_xludf.XLOOKUP(C908,CodePath_Defaults!A:A,CodePath_Defaults!D:D,""),IFERROR(_xludf.XLOOKUP(B908,CodePath_Defaults!B:B,CodePath_Defaults!D:D,""),""))</f>
        <v/>
      </c>
      <c r="T908" t="s">
        <v>801</v>
      </c>
    </row>
    <row r="909" spans="12:20" x14ac:dyDescent="0.35">
      <c r="L909" t="str">
        <f ca="1">IFERROR(_xludf.XLOOKUP(C909,CodePath_Defaults!A:A,CodePath_Defaults!D:D,""),IFERROR(_xludf.XLOOKUP(B909,CodePath_Defaults!B:B,CodePath_Defaults!D:D,""),""))</f>
        <v/>
      </c>
      <c r="T909" t="s">
        <v>801</v>
      </c>
    </row>
    <row r="910" spans="12:20" x14ac:dyDescent="0.35">
      <c r="L910" t="str">
        <f ca="1">IFERROR(_xludf.XLOOKUP(C910,CodePath_Defaults!A:A,CodePath_Defaults!D:D,""),IFERROR(_xludf.XLOOKUP(B910,CodePath_Defaults!B:B,CodePath_Defaults!D:D,""),""))</f>
        <v/>
      </c>
      <c r="T910" t="s">
        <v>801</v>
      </c>
    </row>
    <row r="911" spans="12:20" x14ac:dyDescent="0.35">
      <c r="L911" t="str">
        <f ca="1">IFERROR(_xludf.XLOOKUP(C911,CodePath_Defaults!A:A,CodePath_Defaults!D:D,""),IFERROR(_xludf.XLOOKUP(B911,CodePath_Defaults!B:B,CodePath_Defaults!D:D,""),""))</f>
        <v/>
      </c>
      <c r="T911" t="s">
        <v>801</v>
      </c>
    </row>
    <row r="912" spans="12:20" x14ac:dyDescent="0.35">
      <c r="L912" t="str">
        <f ca="1">IFERROR(_xludf.XLOOKUP(C912,CodePath_Defaults!A:A,CodePath_Defaults!D:D,""),IFERROR(_xludf.XLOOKUP(B912,CodePath_Defaults!B:B,CodePath_Defaults!D:D,""),""))</f>
        <v/>
      </c>
      <c r="T912" t="s">
        <v>801</v>
      </c>
    </row>
    <row r="913" spans="12:20" x14ac:dyDescent="0.35">
      <c r="L913" t="str">
        <f ca="1">IFERROR(_xludf.XLOOKUP(C913,CodePath_Defaults!A:A,CodePath_Defaults!D:D,""),IFERROR(_xludf.XLOOKUP(B913,CodePath_Defaults!B:B,CodePath_Defaults!D:D,""),""))</f>
        <v/>
      </c>
      <c r="T913" t="s">
        <v>801</v>
      </c>
    </row>
    <row r="914" spans="12:20" x14ac:dyDescent="0.35">
      <c r="L914" t="str">
        <f ca="1">IFERROR(_xludf.XLOOKUP(C914,CodePath_Defaults!A:A,CodePath_Defaults!D:D,""),IFERROR(_xludf.XLOOKUP(B914,CodePath_Defaults!B:B,CodePath_Defaults!D:D,""),""))</f>
        <v/>
      </c>
      <c r="T914" t="s">
        <v>801</v>
      </c>
    </row>
    <row r="915" spans="12:20" x14ac:dyDescent="0.35">
      <c r="L915" t="str">
        <f ca="1">IFERROR(_xludf.XLOOKUP(C915,CodePath_Defaults!A:A,CodePath_Defaults!D:D,""),IFERROR(_xludf.XLOOKUP(B915,CodePath_Defaults!B:B,CodePath_Defaults!D:D,""),""))</f>
        <v/>
      </c>
      <c r="T915" t="s">
        <v>801</v>
      </c>
    </row>
    <row r="916" spans="12:20" x14ac:dyDescent="0.35">
      <c r="L916" t="str">
        <f ca="1">IFERROR(_xludf.XLOOKUP(C916,CodePath_Defaults!A:A,CodePath_Defaults!D:D,""),IFERROR(_xludf.XLOOKUP(B916,CodePath_Defaults!B:B,CodePath_Defaults!D:D,""),""))</f>
        <v/>
      </c>
      <c r="T916" t="s">
        <v>801</v>
      </c>
    </row>
    <row r="917" spans="12:20" x14ac:dyDescent="0.35">
      <c r="L917" t="str">
        <f ca="1">IFERROR(_xludf.XLOOKUP(C917,CodePath_Defaults!A:A,CodePath_Defaults!D:D,""),IFERROR(_xludf.XLOOKUP(B917,CodePath_Defaults!B:B,CodePath_Defaults!D:D,""),""))</f>
        <v/>
      </c>
      <c r="T917" t="s">
        <v>801</v>
      </c>
    </row>
    <row r="918" spans="12:20" x14ac:dyDescent="0.35">
      <c r="L918" t="str">
        <f ca="1">IFERROR(_xludf.XLOOKUP(C918,CodePath_Defaults!A:A,CodePath_Defaults!D:D,""),IFERROR(_xludf.XLOOKUP(B918,CodePath_Defaults!B:B,CodePath_Defaults!D:D,""),""))</f>
        <v/>
      </c>
      <c r="T918" t="s">
        <v>801</v>
      </c>
    </row>
    <row r="919" spans="12:20" x14ac:dyDescent="0.35">
      <c r="L919" t="str">
        <f ca="1">IFERROR(_xludf.XLOOKUP(C919,CodePath_Defaults!A:A,CodePath_Defaults!D:D,""),IFERROR(_xludf.XLOOKUP(B919,CodePath_Defaults!B:B,CodePath_Defaults!D:D,""),""))</f>
        <v/>
      </c>
      <c r="T919" t="s">
        <v>801</v>
      </c>
    </row>
    <row r="920" spans="12:20" x14ac:dyDescent="0.35">
      <c r="L920" t="str">
        <f ca="1">IFERROR(_xludf.XLOOKUP(C920,CodePath_Defaults!A:A,CodePath_Defaults!D:D,""),IFERROR(_xludf.XLOOKUP(B920,CodePath_Defaults!B:B,CodePath_Defaults!D:D,""),""))</f>
        <v/>
      </c>
      <c r="T920" t="s">
        <v>801</v>
      </c>
    </row>
    <row r="921" spans="12:20" x14ac:dyDescent="0.35">
      <c r="L921" t="str">
        <f ca="1">IFERROR(_xludf.XLOOKUP(C921,CodePath_Defaults!A:A,CodePath_Defaults!D:D,""),IFERROR(_xludf.XLOOKUP(B921,CodePath_Defaults!B:B,CodePath_Defaults!D:D,""),""))</f>
        <v/>
      </c>
      <c r="T921" t="s">
        <v>801</v>
      </c>
    </row>
    <row r="922" spans="12:20" x14ac:dyDescent="0.35">
      <c r="L922" t="str">
        <f ca="1">IFERROR(_xludf.XLOOKUP(C922,CodePath_Defaults!A:A,CodePath_Defaults!D:D,""),IFERROR(_xludf.XLOOKUP(B922,CodePath_Defaults!B:B,CodePath_Defaults!D:D,""),""))</f>
        <v/>
      </c>
      <c r="T922" t="s">
        <v>801</v>
      </c>
    </row>
    <row r="923" spans="12:20" x14ac:dyDescent="0.35">
      <c r="L923" t="str">
        <f ca="1">IFERROR(_xludf.XLOOKUP(C923,CodePath_Defaults!A:A,CodePath_Defaults!D:D,""),IFERROR(_xludf.XLOOKUP(B923,CodePath_Defaults!B:B,CodePath_Defaults!D:D,""),""))</f>
        <v/>
      </c>
      <c r="T923" t="s">
        <v>801</v>
      </c>
    </row>
    <row r="924" spans="12:20" x14ac:dyDescent="0.35">
      <c r="L924" t="str">
        <f ca="1">IFERROR(_xludf.XLOOKUP(C924,CodePath_Defaults!A:A,CodePath_Defaults!D:D,""),IFERROR(_xludf.XLOOKUP(B924,CodePath_Defaults!B:B,CodePath_Defaults!D:D,""),""))</f>
        <v/>
      </c>
      <c r="T924" t="s">
        <v>801</v>
      </c>
    </row>
    <row r="925" spans="12:20" x14ac:dyDescent="0.35">
      <c r="L925" t="str">
        <f ca="1">IFERROR(_xludf.XLOOKUP(C925,CodePath_Defaults!A:A,CodePath_Defaults!D:D,""),IFERROR(_xludf.XLOOKUP(B925,CodePath_Defaults!B:B,CodePath_Defaults!D:D,""),""))</f>
        <v/>
      </c>
      <c r="T925" t="s">
        <v>801</v>
      </c>
    </row>
    <row r="926" spans="12:20" x14ac:dyDescent="0.35">
      <c r="L926" t="str">
        <f ca="1">IFERROR(_xludf.XLOOKUP(C926,CodePath_Defaults!A:A,CodePath_Defaults!D:D,""),IFERROR(_xludf.XLOOKUP(B926,CodePath_Defaults!B:B,CodePath_Defaults!D:D,""),""))</f>
        <v/>
      </c>
      <c r="T926" t="s">
        <v>801</v>
      </c>
    </row>
    <row r="927" spans="12:20" x14ac:dyDescent="0.35">
      <c r="L927" t="str">
        <f ca="1">IFERROR(_xludf.XLOOKUP(C927,CodePath_Defaults!A:A,CodePath_Defaults!D:D,""),IFERROR(_xludf.XLOOKUP(B927,CodePath_Defaults!B:B,CodePath_Defaults!D:D,""),""))</f>
        <v/>
      </c>
      <c r="T927" t="s">
        <v>801</v>
      </c>
    </row>
    <row r="928" spans="12:20" x14ac:dyDescent="0.35">
      <c r="L928" t="str">
        <f ca="1">IFERROR(_xludf.XLOOKUP(C928,CodePath_Defaults!A:A,CodePath_Defaults!D:D,""),IFERROR(_xludf.XLOOKUP(B928,CodePath_Defaults!B:B,CodePath_Defaults!D:D,""),""))</f>
        <v/>
      </c>
      <c r="T928" t="s">
        <v>801</v>
      </c>
    </row>
    <row r="929" spans="12:20" x14ac:dyDescent="0.35">
      <c r="L929" t="str">
        <f ca="1">IFERROR(_xludf.XLOOKUP(C929,CodePath_Defaults!A:A,CodePath_Defaults!D:D,""),IFERROR(_xludf.XLOOKUP(B929,CodePath_Defaults!B:B,CodePath_Defaults!D:D,""),""))</f>
        <v/>
      </c>
      <c r="T929" t="s">
        <v>801</v>
      </c>
    </row>
    <row r="930" spans="12:20" x14ac:dyDescent="0.35">
      <c r="L930" t="str">
        <f ca="1">IFERROR(_xludf.XLOOKUP(C930,CodePath_Defaults!A:A,CodePath_Defaults!D:D,""),IFERROR(_xludf.XLOOKUP(B930,CodePath_Defaults!B:B,CodePath_Defaults!D:D,""),""))</f>
        <v/>
      </c>
      <c r="T930" t="s">
        <v>801</v>
      </c>
    </row>
    <row r="931" spans="12:20" x14ac:dyDescent="0.35">
      <c r="L931" t="str">
        <f ca="1">IFERROR(_xludf.XLOOKUP(C931,CodePath_Defaults!A:A,CodePath_Defaults!D:D,""),IFERROR(_xludf.XLOOKUP(B931,CodePath_Defaults!B:B,CodePath_Defaults!D:D,""),""))</f>
        <v/>
      </c>
      <c r="T931" t="s">
        <v>801</v>
      </c>
    </row>
    <row r="932" spans="12:20" x14ac:dyDescent="0.35">
      <c r="L932" t="str">
        <f ca="1">IFERROR(_xludf.XLOOKUP(C932,CodePath_Defaults!A:A,CodePath_Defaults!D:D,""),IFERROR(_xludf.XLOOKUP(B932,CodePath_Defaults!B:B,CodePath_Defaults!D:D,""),""))</f>
        <v/>
      </c>
      <c r="T932" t="s">
        <v>801</v>
      </c>
    </row>
    <row r="933" spans="12:20" x14ac:dyDescent="0.35">
      <c r="L933" t="str">
        <f ca="1">IFERROR(_xludf.XLOOKUP(C933,CodePath_Defaults!A:A,CodePath_Defaults!D:D,""),IFERROR(_xludf.XLOOKUP(B933,CodePath_Defaults!B:B,CodePath_Defaults!D:D,""),""))</f>
        <v/>
      </c>
      <c r="T933" t="s">
        <v>801</v>
      </c>
    </row>
    <row r="934" spans="12:20" x14ac:dyDescent="0.35">
      <c r="L934" t="str">
        <f ca="1">IFERROR(_xludf.XLOOKUP(C934,CodePath_Defaults!A:A,CodePath_Defaults!D:D,""),IFERROR(_xludf.XLOOKUP(B934,CodePath_Defaults!B:B,CodePath_Defaults!D:D,""),""))</f>
        <v/>
      </c>
      <c r="T934" t="s">
        <v>801</v>
      </c>
    </row>
    <row r="935" spans="12:20" x14ac:dyDescent="0.35">
      <c r="L935" t="str">
        <f ca="1">IFERROR(_xludf.XLOOKUP(C935,CodePath_Defaults!A:A,CodePath_Defaults!D:D,""),IFERROR(_xludf.XLOOKUP(B935,CodePath_Defaults!B:B,CodePath_Defaults!D:D,""),""))</f>
        <v/>
      </c>
      <c r="T935" t="s">
        <v>801</v>
      </c>
    </row>
    <row r="936" spans="12:20" x14ac:dyDescent="0.35">
      <c r="L936" t="str">
        <f ca="1">IFERROR(_xludf.XLOOKUP(C936,CodePath_Defaults!A:A,CodePath_Defaults!D:D,""),IFERROR(_xludf.XLOOKUP(B936,CodePath_Defaults!B:B,CodePath_Defaults!D:D,""),""))</f>
        <v/>
      </c>
      <c r="T936" t="s">
        <v>801</v>
      </c>
    </row>
    <row r="937" spans="12:20" x14ac:dyDescent="0.35">
      <c r="L937" t="str">
        <f ca="1">IFERROR(_xludf.XLOOKUP(C937,CodePath_Defaults!A:A,CodePath_Defaults!D:D,""),IFERROR(_xludf.XLOOKUP(B937,CodePath_Defaults!B:B,CodePath_Defaults!D:D,""),""))</f>
        <v/>
      </c>
      <c r="T937" t="s">
        <v>801</v>
      </c>
    </row>
    <row r="938" spans="12:20" x14ac:dyDescent="0.35">
      <c r="L938" t="str">
        <f ca="1">IFERROR(_xludf.XLOOKUP(C938,CodePath_Defaults!A:A,CodePath_Defaults!D:D,""),IFERROR(_xludf.XLOOKUP(B938,CodePath_Defaults!B:B,CodePath_Defaults!D:D,""),""))</f>
        <v/>
      </c>
      <c r="T938" t="s">
        <v>801</v>
      </c>
    </row>
    <row r="939" spans="12:20" x14ac:dyDescent="0.35">
      <c r="L939" t="str">
        <f ca="1">IFERROR(_xludf.XLOOKUP(C939,CodePath_Defaults!A:A,CodePath_Defaults!D:D,""),IFERROR(_xludf.XLOOKUP(B939,CodePath_Defaults!B:B,CodePath_Defaults!D:D,""),""))</f>
        <v/>
      </c>
      <c r="T939" t="s">
        <v>801</v>
      </c>
    </row>
    <row r="940" spans="12:20" x14ac:dyDescent="0.35">
      <c r="L940" t="str">
        <f ca="1">IFERROR(_xludf.XLOOKUP(C940,CodePath_Defaults!A:A,CodePath_Defaults!D:D,""),IFERROR(_xludf.XLOOKUP(B940,CodePath_Defaults!B:B,CodePath_Defaults!D:D,""),""))</f>
        <v/>
      </c>
      <c r="T940" t="s">
        <v>801</v>
      </c>
    </row>
    <row r="941" spans="12:20" x14ac:dyDescent="0.35">
      <c r="L941" t="str">
        <f ca="1">IFERROR(_xludf.XLOOKUP(C941,CodePath_Defaults!A:A,CodePath_Defaults!D:D,""),IFERROR(_xludf.XLOOKUP(B941,CodePath_Defaults!B:B,CodePath_Defaults!D:D,""),""))</f>
        <v/>
      </c>
      <c r="T941" t="s">
        <v>801</v>
      </c>
    </row>
    <row r="942" spans="12:20" x14ac:dyDescent="0.35">
      <c r="L942" t="str">
        <f ca="1">IFERROR(_xludf.XLOOKUP(C942,CodePath_Defaults!A:A,CodePath_Defaults!D:D,""),IFERROR(_xludf.XLOOKUP(B942,CodePath_Defaults!B:B,CodePath_Defaults!D:D,""),""))</f>
        <v/>
      </c>
      <c r="T942" t="s">
        <v>801</v>
      </c>
    </row>
    <row r="943" spans="12:20" x14ac:dyDescent="0.35">
      <c r="L943" t="str">
        <f ca="1">IFERROR(_xludf.XLOOKUP(C943,CodePath_Defaults!A:A,CodePath_Defaults!D:D,""),IFERROR(_xludf.XLOOKUP(B943,CodePath_Defaults!B:B,CodePath_Defaults!D:D,""),""))</f>
        <v/>
      </c>
      <c r="T943" t="s">
        <v>801</v>
      </c>
    </row>
    <row r="944" spans="12:20" x14ac:dyDescent="0.35">
      <c r="L944" t="str">
        <f ca="1">IFERROR(_xludf.XLOOKUP(C944,CodePath_Defaults!A:A,CodePath_Defaults!D:D,""),IFERROR(_xludf.XLOOKUP(B944,CodePath_Defaults!B:B,CodePath_Defaults!D:D,""),""))</f>
        <v/>
      </c>
      <c r="T944" t="s">
        <v>801</v>
      </c>
    </row>
    <row r="945" spans="12:20" x14ac:dyDescent="0.35">
      <c r="L945" t="str">
        <f ca="1">IFERROR(_xludf.XLOOKUP(C945,CodePath_Defaults!A:A,CodePath_Defaults!D:D,""),IFERROR(_xludf.XLOOKUP(B945,CodePath_Defaults!B:B,CodePath_Defaults!D:D,""),""))</f>
        <v/>
      </c>
      <c r="T945" t="s">
        <v>801</v>
      </c>
    </row>
    <row r="946" spans="12:20" x14ac:dyDescent="0.35">
      <c r="L946" t="str">
        <f ca="1">IFERROR(_xludf.XLOOKUP(C946,CodePath_Defaults!A:A,CodePath_Defaults!D:D,""),IFERROR(_xludf.XLOOKUP(B946,CodePath_Defaults!B:B,CodePath_Defaults!D:D,""),""))</f>
        <v/>
      </c>
      <c r="T946" t="s">
        <v>801</v>
      </c>
    </row>
    <row r="947" spans="12:20" x14ac:dyDescent="0.35">
      <c r="L947" t="str">
        <f ca="1">IFERROR(_xludf.XLOOKUP(C947,CodePath_Defaults!A:A,CodePath_Defaults!D:D,""),IFERROR(_xludf.XLOOKUP(B947,CodePath_Defaults!B:B,CodePath_Defaults!D:D,""),""))</f>
        <v/>
      </c>
      <c r="T947" t="s">
        <v>801</v>
      </c>
    </row>
    <row r="948" spans="12:20" x14ac:dyDescent="0.35">
      <c r="L948" t="str">
        <f ca="1">IFERROR(_xludf.XLOOKUP(C948,CodePath_Defaults!A:A,CodePath_Defaults!D:D,""),IFERROR(_xludf.XLOOKUP(B948,CodePath_Defaults!B:B,CodePath_Defaults!D:D,""),""))</f>
        <v/>
      </c>
      <c r="T948" t="s">
        <v>801</v>
      </c>
    </row>
    <row r="949" spans="12:20" x14ac:dyDescent="0.35">
      <c r="L949" t="str">
        <f ca="1">IFERROR(_xludf.XLOOKUP(C949,CodePath_Defaults!A:A,CodePath_Defaults!D:D,""),IFERROR(_xludf.XLOOKUP(B949,CodePath_Defaults!B:B,CodePath_Defaults!D:D,""),""))</f>
        <v/>
      </c>
      <c r="T949" t="s">
        <v>801</v>
      </c>
    </row>
    <row r="950" spans="12:20" x14ac:dyDescent="0.35">
      <c r="L950" t="str">
        <f ca="1">IFERROR(_xludf.XLOOKUP(C950,CodePath_Defaults!A:A,CodePath_Defaults!D:D,""),IFERROR(_xludf.XLOOKUP(B950,CodePath_Defaults!B:B,CodePath_Defaults!D:D,""),""))</f>
        <v/>
      </c>
      <c r="T950" t="s">
        <v>801</v>
      </c>
    </row>
    <row r="951" spans="12:20" x14ac:dyDescent="0.35">
      <c r="L951" t="str">
        <f ca="1">IFERROR(_xludf.XLOOKUP(C951,CodePath_Defaults!A:A,CodePath_Defaults!D:D,""),IFERROR(_xludf.XLOOKUP(B951,CodePath_Defaults!B:B,CodePath_Defaults!D:D,""),""))</f>
        <v/>
      </c>
      <c r="T951" t="s">
        <v>801</v>
      </c>
    </row>
    <row r="952" spans="12:20" x14ac:dyDescent="0.35">
      <c r="L952" t="str">
        <f ca="1">IFERROR(_xludf.XLOOKUP(C952,CodePath_Defaults!A:A,CodePath_Defaults!D:D,""),IFERROR(_xludf.XLOOKUP(B952,CodePath_Defaults!B:B,CodePath_Defaults!D:D,""),""))</f>
        <v/>
      </c>
      <c r="T952" t="s">
        <v>801</v>
      </c>
    </row>
    <row r="953" spans="12:20" x14ac:dyDescent="0.35">
      <c r="L953" t="str">
        <f ca="1">IFERROR(_xludf.XLOOKUP(C953,CodePath_Defaults!A:A,CodePath_Defaults!D:D,""),IFERROR(_xludf.XLOOKUP(B953,CodePath_Defaults!B:B,CodePath_Defaults!D:D,""),""))</f>
        <v/>
      </c>
      <c r="T953" t="s">
        <v>801</v>
      </c>
    </row>
    <row r="954" spans="12:20" x14ac:dyDescent="0.35">
      <c r="L954" t="str">
        <f ca="1">IFERROR(_xludf.XLOOKUP(C954,CodePath_Defaults!A:A,CodePath_Defaults!D:D,""),IFERROR(_xludf.XLOOKUP(B954,CodePath_Defaults!B:B,CodePath_Defaults!D:D,""),""))</f>
        <v/>
      </c>
      <c r="T954" t="s">
        <v>801</v>
      </c>
    </row>
    <row r="955" spans="12:20" x14ac:dyDescent="0.35">
      <c r="L955" t="str">
        <f ca="1">IFERROR(_xludf.XLOOKUP(C955,CodePath_Defaults!A:A,CodePath_Defaults!D:D,""),IFERROR(_xludf.XLOOKUP(B955,CodePath_Defaults!B:B,CodePath_Defaults!D:D,""),""))</f>
        <v/>
      </c>
      <c r="T955" t="s">
        <v>801</v>
      </c>
    </row>
    <row r="956" spans="12:20" x14ac:dyDescent="0.35">
      <c r="L956" t="str">
        <f ca="1">IFERROR(_xludf.XLOOKUP(C956,CodePath_Defaults!A:A,CodePath_Defaults!D:D,""),IFERROR(_xludf.XLOOKUP(B956,CodePath_Defaults!B:B,CodePath_Defaults!D:D,""),""))</f>
        <v/>
      </c>
      <c r="T956" t="s">
        <v>801</v>
      </c>
    </row>
    <row r="957" spans="12:20" x14ac:dyDescent="0.35">
      <c r="L957" t="str">
        <f ca="1">IFERROR(_xludf.XLOOKUP(C957,CodePath_Defaults!A:A,CodePath_Defaults!D:D,""),IFERROR(_xludf.XLOOKUP(B957,CodePath_Defaults!B:B,CodePath_Defaults!D:D,""),""))</f>
        <v/>
      </c>
      <c r="T957" t="s">
        <v>801</v>
      </c>
    </row>
    <row r="958" spans="12:20" x14ac:dyDescent="0.35">
      <c r="L958" t="str">
        <f ca="1">IFERROR(_xludf.XLOOKUP(C958,CodePath_Defaults!A:A,CodePath_Defaults!D:D,""),IFERROR(_xludf.XLOOKUP(B958,CodePath_Defaults!B:B,CodePath_Defaults!D:D,""),""))</f>
        <v/>
      </c>
      <c r="T958" t="s">
        <v>801</v>
      </c>
    </row>
    <row r="959" spans="12:20" x14ac:dyDescent="0.35">
      <c r="L959" t="str">
        <f ca="1">IFERROR(_xludf.XLOOKUP(C959,CodePath_Defaults!A:A,CodePath_Defaults!D:D,""),IFERROR(_xludf.XLOOKUP(B959,CodePath_Defaults!B:B,CodePath_Defaults!D:D,""),""))</f>
        <v/>
      </c>
      <c r="T959" t="s">
        <v>801</v>
      </c>
    </row>
    <row r="960" spans="12:20" x14ac:dyDescent="0.35">
      <c r="L960" t="str">
        <f ca="1">IFERROR(_xludf.XLOOKUP(C960,CodePath_Defaults!A:A,CodePath_Defaults!D:D,""),IFERROR(_xludf.XLOOKUP(B960,CodePath_Defaults!B:B,CodePath_Defaults!D:D,""),""))</f>
        <v/>
      </c>
      <c r="T960" t="s">
        <v>801</v>
      </c>
    </row>
    <row r="961" spans="12:20" x14ac:dyDescent="0.35">
      <c r="L961" t="str">
        <f ca="1">IFERROR(_xludf.XLOOKUP(C961,CodePath_Defaults!A:A,CodePath_Defaults!D:D,""),IFERROR(_xludf.XLOOKUP(B961,CodePath_Defaults!B:B,CodePath_Defaults!D:D,""),""))</f>
        <v/>
      </c>
      <c r="T961" t="s">
        <v>801</v>
      </c>
    </row>
    <row r="962" spans="12:20" x14ac:dyDescent="0.35">
      <c r="L962" t="str">
        <f ca="1">IFERROR(_xludf.XLOOKUP(C962,CodePath_Defaults!A:A,CodePath_Defaults!D:D,""),IFERROR(_xludf.XLOOKUP(B962,CodePath_Defaults!B:B,CodePath_Defaults!D:D,""),""))</f>
        <v/>
      </c>
      <c r="T962" t="s">
        <v>801</v>
      </c>
    </row>
    <row r="963" spans="12:20" x14ac:dyDescent="0.35">
      <c r="L963" t="str">
        <f ca="1">IFERROR(_xludf.XLOOKUP(C963,CodePath_Defaults!A:A,CodePath_Defaults!D:D,""),IFERROR(_xludf.XLOOKUP(B963,CodePath_Defaults!B:B,CodePath_Defaults!D:D,""),""))</f>
        <v/>
      </c>
      <c r="T963" t="s">
        <v>801</v>
      </c>
    </row>
    <row r="964" spans="12:20" x14ac:dyDescent="0.35">
      <c r="L964" t="str">
        <f ca="1">IFERROR(_xludf.XLOOKUP(C964,CodePath_Defaults!A:A,CodePath_Defaults!D:D,""),IFERROR(_xludf.XLOOKUP(B964,CodePath_Defaults!B:B,CodePath_Defaults!D:D,""),""))</f>
        <v/>
      </c>
      <c r="T964" t="s">
        <v>801</v>
      </c>
    </row>
    <row r="965" spans="12:20" x14ac:dyDescent="0.35">
      <c r="L965" t="str">
        <f ca="1">IFERROR(_xludf.XLOOKUP(C965,CodePath_Defaults!A:A,CodePath_Defaults!D:D,""),IFERROR(_xludf.XLOOKUP(B965,CodePath_Defaults!B:B,CodePath_Defaults!D:D,""),""))</f>
        <v/>
      </c>
      <c r="T965" t="s">
        <v>801</v>
      </c>
    </row>
    <row r="966" spans="12:20" x14ac:dyDescent="0.35">
      <c r="L966" t="str">
        <f ca="1">IFERROR(_xludf.XLOOKUP(C966,CodePath_Defaults!A:A,CodePath_Defaults!D:D,""),IFERROR(_xludf.XLOOKUP(B966,CodePath_Defaults!B:B,CodePath_Defaults!D:D,""),""))</f>
        <v/>
      </c>
      <c r="T966" t="s">
        <v>801</v>
      </c>
    </row>
    <row r="967" spans="12:20" x14ac:dyDescent="0.35">
      <c r="L967" t="str">
        <f ca="1">IFERROR(_xludf.XLOOKUP(C967,CodePath_Defaults!A:A,CodePath_Defaults!D:D,""),IFERROR(_xludf.XLOOKUP(B967,CodePath_Defaults!B:B,CodePath_Defaults!D:D,""),""))</f>
        <v/>
      </c>
      <c r="T967" t="s">
        <v>801</v>
      </c>
    </row>
    <row r="968" spans="12:20" x14ac:dyDescent="0.35">
      <c r="L968" t="str">
        <f ca="1">IFERROR(_xludf.XLOOKUP(C968,CodePath_Defaults!A:A,CodePath_Defaults!D:D,""),IFERROR(_xludf.XLOOKUP(B968,CodePath_Defaults!B:B,CodePath_Defaults!D:D,""),""))</f>
        <v/>
      </c>
      <c r="T968" t="s">
        <v>801</v>
      </c>
    </row>
    <row r="969" spans="12:20" x14ac:dyDescent="0.35">
      <c r="L969" t="str">
        <f ca="1">IFERROR(_xludf.XLOOKUP(C969,CodePath_Defaults!A:A,CodePath_Defaults!D:D,""),IFERROR(_xludf.XLOOKUP(B969,CodePath_Defaults!B:B,CodePath_Defaults!D:D,""),""))</f>
        <v/>
      </c>
      <c r="T969" t="s">
        <v>801</v>
      </c>
    </row>
    <row r="970" spans="12:20" x14ac:dyDescent="0.35">
      <c r="L970" t="str">
        <f ca="1">IFERROR(_xludf.XLOOKUP(C970,CodePath_Defaults!A:A,CodePath_Defaults!D:D,""),IFERROR(_xludf.XLOOKUP(B970,CodePath_Defaults!B:B,CodePath_Defaults!D:D,""),""))</f>
        <v/>
      </c>
      <c r="T970" t="s">
        <v>801</v>
      </c>
    </row>
    <row r="971" spans="12:20" x14ac:dyDescent="0.35">
      <c r="L971" t="str">
        <f ca="1">IFERROR(_xludf.XLOOKUP(C971,CodePath_Defaults!A:A,CodePath_Defaults!D:D,""),IFERROR(_xludf.XLOOKUP(B971,CodePath_Defaults!B:B,CodePath_Defaults!D:D,""),""))</f>
        <v/>
      </c>
      <c r="T971" t="s">
        <v>801</v>
      </c>
    </row>
    <row r="972" spans="12:20" x14ac:dyDescent="0.35">
      <c r="L972" t="str">
        <f ca="1">IFERROR(_xludf.XLOOKUP(C972,CodePath_Defaults!A:A,CodePath_Defaults!D:D,""),IFERROR(_xludf.XLOOKUP(B972,CodePath_Defaults!B:B,CodePath_Defaults!D:D,""),""))</f>
        <v/>
      </c>
      <c r="T972" t="s">
        <v>801</v>
      </c>
    </row>
    <row r="973" spans="12:20" x14ac:dyDescent="0.35">
      <c r="L973" t="str">
        <f ca="1">IFERROR(_xludf.XLOOKUP(C973,CodePath_Defaults!A:A,CodePath_Defaults!D:D,""),IFERROR(_xludf.XLOOKUP(B973,CodePath_Defaults!B:B,CodePath_Defaults!D:D,""),""))</f>
        <v/>
      </c>
      <c r="T973" t="s">
        <v>801</v>
      </c>
    </row>
    <row r="974" spans="12:20" x14ac:dyDescent="0.35">
      <c r="L974" t="str">
        <f ca="1">IFERROR(_xludf.XLOOKUP(C974,CodePath_Defaults!A:A,CodePath_Defaults!D:D,""),IFERROR(_xludf.XLOOKUP(B974,CodePath_Defaults!B:B,CodePath_Defaults!D:D,""),""))</f>
        <v/>
      </c>
      <c r="T974" t="s">
        <v>801</v>
      </c>
    </row>
    <row r="975" spans="12:20" x14ac:dyDescent="0.35">
      <c r="L975" t="str">
        <f ca="1">IFERROR(_xludf.XLOOKUP(C975,CodePath_Defaults!A:A,CodePath_Defaults!D:D,""),IFERROR(_xludf.XLOOKUP(B975,CodePath_Defaults!B:B,CodePath_Defaults!D:D,""),""))</f>
        <v/>
      </c>
      <c r="T975" t="s">
        <v>801</v>
      </c>
    </row>
    <row r="976" spans="12:20" x14ac:dyDescent="0.35">
      <c r="L976" t="str">
        <f ca="1">IFERROR(_xludf.XLOOKUP(C976,CodePath_Defaults!A:A,CodePath_Defaults!D:D,""),IFERROR(_xludf.XLOOKUP(B976,CodePath_Defaults!B:B,CodePath_Defaults!D:D,""),""))</f>
        <v/>
      </c>
      <c r="T976" t="s">
        <v>801</v>
      </c>
    </row>
    <row r="977" spans="12:20" x14ac:dyDescent="0.35">
      <c r="L977" t="str">
        <f ca="1">IFERROR(_xludf.XLOOKUP(C977,CodePath_Defaults!A:A,CodePath_Defaults!D:D,""),IFERROR(_xludf.XLOOKUP(B977,CodePath_Defaults!B:B,CodePath_Defaults!D:D,""),""))</f>
        <v/>
      </c>
      <c r="T977" t="s">
        <v>801</v>
      </c>
    </row>
    <row r="978" spans="12:20" x14ac:dyDescent="0.35">
      <c r="L978" t="str">
        <f ca="1">IFERROR(_xludf.XLOOKUP(C978,CodePath_Defaults!A:A,CodePath_Defaults!D:D,""),IFERROR(_xludf.XLOOKUP(B978,CodePath_Defaults!B:B,CodePath_Defaults!D:D,""),""))</f>
        <v/>
      </c>
      <c r="T978" t="s">
        <v>801</v>
      </c>
    </row>
    <row r="979" spans="12:20" x14ac:dyDescent="0.35">
      <c r="L979" t="str">
        <f ca="1">IFERROR(_xludf.XLOOKUP(C979,CodePath_Defaults!A:A,CodePath_Defaults!D:D,""),IFERROR(_xludf.XLOOKUP(B979,CodePath_Defaults!B:B,CodePath_Defaults!D:D,""),""))</f>
        <v/>
      </c>
      <c r="T979" t="s">
        <v>801</v>
      </c>
    </row>
    <row r="980" spans="12:20" x14ac:dyDescent="0.35">
      <c r="L980" t="str">
        <f ca="1">IFERROR(_xludf.XLOOKUP(C980,CodePath_Defaults!A:A,CodePath_Defaults!D:D,""),IFERROR(_xludf.XLOOKUP(B980,CodePath_Defaults!B:B,CodePath_Defaults!D:D,""),""))</f>
        <v/>
      </c>
      <c r="T980" t="s">
        <v>801</v>
      </c>
    </row>
    <row r="981" spans="12:20" x14ac:dyDescent="0.35">
      <c r="L981" t="str">
        <f ca="1">IFERROR(_xludf.XLOOKUP(C981,CodePath_Defaults!A:A,CodePath_Defaults!D:D,""),IFERROR(_xludf.XLOOKUP(B981,CodePath_Defaults!B:B,CodePath_Defaults!D:D,""),""))</f>
        <v/>
      </c>
      <c r="T981" t="s">
        <v>801</v>
      </c>
    </row>
    <row r="982" spans="12:20" x14ac:dyDescent="0.35">
      <c r="L982" t="str">
        <f ca="1">IFERROR(_xludf.XLOOKUP(C982,CodePath_Defaults!A:A,CodePath_Defaults!D:D,""),IFERROR(_xludf.XLOOKUP(B982,CodePath_Defaults!B:B,CodePath_Defaults!D:D,""),""))</f>
        <v/>
      </c>
      <c r="T982" t="s">
        <v>801</v>
      </c>
    </row>
    <row r="983" spans="12:20" x14ac:dyDescent="0.35">
      <c r="L983" t="str">
        <f ca="1">IFERROR(_xludf.XLOOKUP(C983,CodePath_Defaults!A:A,CodePath_Defaults!D:D,""),IFERROR(_xludf.XLOOKUP(B983,CodePath_Defaults!B:B,CodePath_Defaults!D:D,""),""))</f>
        <v/>
      </c>
      <c r="T983" t="s">
        <v>801</v>
      </c>
    </row>
    <row r="984" spans="12:20" x14ac:dyDescent="0.35">
      <c r="L984" t="str">
        <f ca="1">IFERROR(_xludf.XLOOKUP(C984,CodePath_Defaults!A:A,CodePath_Defaults!D:D,""),IFERROR(_xludf.XLOOKUP(B984,CodePath_Defaults!B:B,CodePath_Defaults!D:D,""),""))</f>
        <v/>
      </c>
      <c r="T984" t="s">
        <v>801</v>
      </c>
    </row>
    <row r="985" spans="12:20" x14ac:dyDescent="0.35">
      <c r="L985" t="str">
        <f ca="1">IFERROR(_xludf.XLOOKUP(C985,CodePath_Defaults!A:A,CodePath_Defaults!D:D,""),IFERROR(_xludf.XLOOKUP(B985,CodePath_Defaults!B:B,CodePath_Defaults!D:D,""),""))</f>
        <v/>
      </c>
      <c r="T985" t="s">
        <v>801</v>
      </c>
    </row>
    <row r="986" spans="12:20" x14ac:dyDescent="0.35">
      <c r="L986" t="str">
        <f ca="1">IFERROR(_xludf.XLOOKUP(C986,CodePath_Defaults!A:A,CodePath_Defaults!D:D,""),IFERROR(_xludf.XLOOKUP(B986,CodePath_Defaults!B:B,CodePath_Defaults!D:D,""),""))</f>
        <v/>
      </c>
      <c r="T986" t="s">
        <v>801</v>
      </c>
    </row>
    <row r="987" spans="12:20" x14ac:dyDescent="0.35">
      <c r="L987" t="str">
        <f ca="1">IFERROR(_xludf.XLOOKUP(C987,CodePath_Defaults!A:A,CodePath_Defaults!D:D,""),IFERROR(_xludf.XLOOKUP(B987,CodePath_Defaults!B:B,CodePath_Defaults!D:D,""),""))</f>
        <v/>
      </c>
      <c r="T987" t="s">
        <v>801</v>
      </c>
    </row>
    <row r="988" spans="12:20" x14ac:dyDescent="0.35">
      <c r="L988" t="str">
        <f ca="1">IFERROR(_xludf.XLOOKUP(C988,CodePath_Defaults!A:A,CodePath_Defaults!D:D,""),IFERROR(_xludf.XLOOKUP(B988,CodePath_Defaults!B:B,CodePath_Defaults!D:D,""),""))</f>
        <v/>
      </c>
      <c r="T988" t="s">
        <v>801</v>
      </c>
    </row>
    <row r="989" spans="12:20" x14ac:dyDescent="0.35">
      <c r="L989" t="str">
        <f ca="1">IFERROR(_xludf.XLOOKUP(C989,CodePath_Defaults!A:A,CodePath_Defaults!D:D,""),IFERROR(_xludf.XLOOKUP(B989,CodePath_Defaults!B:B,CodePath_Defaults!D:D,""),""))</f>
        <v/>
      </c>
      <c r="T989" t="s">
        <v>801</v>
      </c>
    </row>
    <row r="990" spans="12:20" x14ac:dyDescent="0.35">
      <c r="L990" t="str">
        <f ca="1">IFERROR(_xludf.XLOOKUP(C990,CodePath_Defaults!A:A,CodePath_Defaults!D:D,""),IFERROR(_xludf.XLOOKUP(B990,CodePath_Defaults!B:B,CodePath_Defaults!D:D,""),""))</f>
        <v/>
      </c>
      <c r="T990" t="s">
        <v>801</v>
      </c>
    </row>
    <row r="991" spans="12:20" x14ac:dyDescent="0.35">
      <c r="L991" t="str">
        <f ca="1">IFERROR(_xludf.XLOOKUP(C991,CodePath_Defaults!A:A,CodePath_Defaults!D:D,""),IFERROR(_xludf.XLOOKUP(B991,CodePath_Defaults!B:B,CodePath_Defaults!D:D,""),""))</f>
        <v/>
      </c>
      <c r="T991" t="s">
        <v>801</v>
      </c>
    </row>
    <row r="992" spans="12:20" x14ac:dyDescent="0.35">
      <c r="L992" t="str">
        <f ca="1">IFERROR(_xludf.XLOOKUP(C992,CodePath_Defaults!A:A,CodePath_Defaults!D:D,""),IFERROR(_xludf.XLOOKUP(B992,CodePath_Defaults!B:B,CodePath_Defaults!D:D,""),""))</f>
        <v/>
      </c>
      <c r="T992" t="s">
        <v>801</v>
      </c>
    </row>
    <row r="993" spans="12:20" x14ac:dyDescent="0.35">
      <c r="L993" t="str">
        <f ca="1">IFERROR(_xludf.XLOOKUP(C993,CodePath_Defaults!A:A,CodePath_Defaults!D:D,""),IFERROR(_xludf.XLOOKUP(B993,CodePath_Defaults!B:B,CodePath_Defaults!D:D,""),""))</f>
        <v/>
      </c>
      <c r="T993" t="s">
        <v>801</v>
      </c>
    </row>
    <row r="994" spans="12:20" x14ac:dyDescent="0.35">
      <c r="L994" t="str">
        <f ca="1">IFERROR(_xludf.XLOOKUP(C994,CodePath_Defaults!A:A,CodePath_Defaults!D:D,""),IFERROR(_xludf.XLOOKUP(B994,CodePath_Defaults!B:B,CodePath_Defaults!D:D,""),""))</f>
        <v/>
      </c>
      <c r="T994" t="s">
        <v>801</v>
      </c>
    </row>
    <row r="995" spans="12:20" x14ac:dyDescent="0.35">
      <c r="L995" t="str">
        <f ca="1">IFERROR(_xludf.XLOOKUP(C995,CodePath_Defaults!A:A,CodePath_Defaults!D:D,""),IFERROR(_xludf.XLOOKUP(B995,CodePath_Defaults!B:B,CodePath_Defaults!D:D,""),""))</f>
        <v/>
      </c>
      <c r="T995" t="s">
        <v>801</v>
      </c>
    </row>
    <row r="996" spans="12:20" x14ac:dyDescent="0.35">
      <c r="L996" t="str">
        <f ca="1">IFERROR(_xludf.XLOOKUP(C996,CodePath_Defaults!A:A,CodePath_Defaults!D:D,""),IFERROR(_xludf.XLOOKUP(B996,CodePath_Defaults!B:B,CodePath_Defaults!D:D,""),""))</f>
        <v/>
      </c>
      <c r="T996" t="s">
        <v>801</v>
      </c>
    </row>
    <row r="997" spans="12:20" x14ac:dyDescent="0.35">
      <c r="L997" t="str">
        <f ca="1">IFERROR(_xludf.XLOOKUP(C997,CodePath_Defaults!A:A,CodePath_Defaults!D:D,""),IFERROR(_xludf.XLOOKUP(B997,CodePath_Defaults!B:B,CodePath_Defaults!D:D,""),""))</f>
        <v/>
      </c>
      <c r="T997" t="s">
        <v>801</v>
      </c>
    </row>
    <row r="998" spans="12:20" x14ac:dyDescent="0.35">
      <c r="L998" t="str">
        <f ca="1">IFERROR(_xludf.XLOOKUP(C998,CodePath_Defaults!A:A,CodePath_Defaults!D:D,""),IFERROR(_xludf.XLOOKUP(B998,CodePath_Defaults!B:B,CodePath_Defaults!D:D,""),""))</f>
        <v/>
      </c>
      <c r="T998" t="s">
        <v>801</v>
      </c>
    </row>
    <row r="999" spans="12:20" x14ac:dyDescent="0.35">
      <c r="L999" t="str">
        <f ca="1">IFERROR(_xludf.XLOOKUP(C999,CodePath_Defaults!A:A,CodePath_Defaults!D:D,""),IFERROR(_xludf.XLOOKUP(B999,CodePath_Defaults!B:B,CodePath_Defaults!D:D,""),""))</f>
        <v/>
      </c>
      <c r="T999" t="s">
        <v>801</v>
      </c>
    </row>
    <row r="1000" spans="12:20" x14ac:dyDescent="0.35">
      <c r="L1000" t="str">
        <f ca="1">IFERROR(_xludf.XLOOKUP(C1000,CodePath_Defaults!A:A,CodePath_Defaults!D:D,""),IFERROR(_xludf.XLOOKUP(B1000,CodePath_Defaults!B:B,CodePath_Defaults!D:D,""),""))</f>
        <v/>
      </c>
      <c r="T1000" t="s">
        <v>801</v>
      </c>
    </row>
    <row r="1001" spans="12:20" x14ac:dyDescent="0.35">
      <c r="L1001" t="str">
        <f ca="1">IFERROR(_xludf.XLOOKUP(C1001,CodePath_Defaults!A:A,CodePath_Defaults!D:D,""),IFERROR(_xludf.XLOOKUP(B1001,CodePath_Defaults!B:B,CodePath_Defaults!D:D,""),""))</f>
        <v/>
      </c>
      <c r="T1001" t="s">
        <v>801</v>
      </c>
    </row>
    <row r="1002" spans="12:20" x14ac:dyDescent="0.35">
      <c r="L1002" t="str">
        <f ca="1">IFERROR(_xludf.XLOOKUP(C1002,CodePath_Defaults!A:A,CodePath_Defaults!D:D,""),IFERROR(_xludf.XLOOKUP(B1002,CodePath_Defaults!B:B,CodePath_Defaults!D:D,""),""))</f>
        <v/>
      </c>
      <c r="T1002" t="s">
        <v>801</v>
      </c>
    </row>
    <row r="1003" spans="12:20" x14ac:dyDescent="0.35">
      <c r="L1003" t="str">
        <f ca="1">IFERROR(_xludf.XLOOKUP(C1003,CodePath_Defaults!A:A,CodePath_Defaults!D:D,""),IFERROR(_xludf.XLOOKUP(B1003,CodePath_Defaults!B:B,CodePath_Defaults!D:D,""),""))</f>
        <v/>
      </c>
      <c r="T1003" t="s">
        <v>801</v>
      </c>
    </row>
    <row r="1004" spans="12:20" x14ac:dyDescent="0.35">
      <c r="L1004" t="str">
        <f ca="1">IFERROR(_xludf.XLOOKUP(C1004,CodePath_Defaults!A:A,CodePath_Defaults!D:D,""),IFERROR(_xludf.XLOOKUP(B1004,CodePath_Defaults!B:B,CodePath_Defaults!D:D,""),""))</f>
        <v/>
      </c>
      <c r="T1004" t="s">
        <v>801</v>
      </c>
    </row>
    <row r="1005" spans="12:20" x14ac:dyDescent="0.35">
      <c r="L1005" t="str">
        <f ca="1">IFERROR(_xludf.XLOOKUP(C1005,CodePath_Defaults!A:A,CodePath_Defaults!D:D,""),IFERROR(_xludf.XLOOKUP(B1005,CodePath_Defaults!B:B,CodePath_Defaults!D:D,""),""))</f>
        <v/>
      </c>
      <c r="T1005" t="s">
        <v>801</v>
      </c>
    </row>
    <row r="1006" spans="12:20" x14ac:dyDescent="0.35">
      <c r="L1006" t="str">
        <f ca="1">IFERROR(_xludf.XLOOKUP(C1006,CodePath_Defaults!A:A,CodePath_Defaults!D:D,""),IFERROR(_xludf.XLOOKUP(B1006,CodePath_Defaults!B:B,CodePath_Defaults!D:D,""),""))</f>
        <v/>
      </c>
      <c r="T1006" t="s">
        <v>801</v>
      </c>
    </row>
    <row r="1007" spans="12:20" x14ac:dyDescent="0.35">
      <c r="L1007" t="str">
        <f ca="1">IFERROR(_xludf.XLOOKUP(C1007,CodePath_Defaults!A:A,CodePath_Defaults!D:D,""),IFERROR(_xludf.XLOOKUP(B1007,CodePath_Defaults!B:B,CodePath_Defaults!D:D,""),""))</f>
        <v/>
      </c>
      <c r="T1007" t="s">
        <v>801</v>
      </c>
    </row>
    <row r="1008" spans="12:20" x14ac:dyDescent="0.35">
      <c r="L1008" t="str">
        <f ca="1">IFERROR(_xludf.XLOOKUP(C1008,CodePath_Defaults!A:A,CodePath_Defaults!D:D,""),IFERROR(_xludf.XLOOKUP(B1008,CodePath_Defaults!B:B,CodePath_Defaults!D:D,""),""))</f>
        <v/>
      </c>
      <c r="T1008" t="s">
        <v>801</v>
      </c>
    </row>
    <row r="1009" spans="12:20" x14ac:dyDescent="0.35">
      <c r="L1009" t="str">
        <f ca="1">IFERROR(_xludf.XLOOKUP(C1009,CodePath_Defaults!A:A,CodePath_Defaults!D:D,""),IFERROR(_xludf.XLOOKUP(B1009,CodePath_Defaults!B:B,CodePath_Defaults!D:D,""),""))</f>
        <v/>
      </c>
      <c r="T1009" t="s">
        <v>801</v>
      </c>
    </row>
    <row r="1010" spans="12:20" x14ac:dyDescent="0.35">
      <c r="L1010" t="str">
        <f ca="1">IFERROR(_xludf.XLOOKUP(C1010,CodePath_Defaults!A:A,CodePath_Defaults!D:D,""),IFERROR(_xludf.XLOOKUP(B1010,CodePath_Defaults!B:B,CodePath_Defaults!D:D,""),""))</f>
        <v/>
      </c>
      <c r="T1010" t="s">
        <v>801</v>
      </c>
    </row>
    <row r="1011" spans="12:20" x14ac:dyDescent="0.35">
      <c r="L1011" t="str">
        <f ca="1">IFERROR(_xludf.XLOOKUP(C1011,CodePath_Defaults!A:A,CodePath_Defaults!D:D,""),IFERROR(_xludf.XLOOKUP(B1011,CodePath_Defaults!B:B,CodePath_Defaults!D:D,""),""))</f>
        <v/>
      </c>
      <c r="T1011" t="s">
        <v>801</v>
      </c>
    </row>
    <row r="1012" spans="12:20" x14ac:dyDescent="0.35">
      <c r="L1012" t="str">
        <f ca="1">IFERROR(_xludf.XLOOKUP(C1012,CodePath_Defaults!A:A,CodePath_Defaults!D:D,""),IFERROR(_xludf.XLOOKUP(B1012,CodePath_Defaults!B:B,CodePath_Defaults!D:D,""),""))</f>
        <v/>
      </c>
      <c r="T1012" t="s">
        <v>801</v>
      </c>
    </row>
    <row r="1013" spans="12:20" x14ac:dyDescent="0.35">
      <c r="L1013" t="str">
        <f ca="1">IFERROR(_xludf.XLOOKUP(C1013,CodePath_Defaults!A:A,CodePath_Defaults!D:D,""),IFERROR(_xludf.XLOOKUP(B1013,CodePath_Defaults!B:B,CodePath_Defaults!D:D,""),""))</f>
        <v/>
      </c>
      <c r="T1013" t="s">
        <v>801</v>
      </c>
    </row>
    <row r="1014" spans="12:20" x14ac:dyDescent="0.35">
      <c r="L1014" t="str">
        <f ca="1">IFERROR(_xludf.XLOOKUP(C1014,CodePath_Defaults!A:A,CodePath_Defaults!D:D,""),IFERROR(_xludf.XLOOKUP(B1014,CodePath_Defaults!B:B,CodePath_Defaults!D:D,""),""))</f>
        <v/>
      </c>
      <c r="T1014" t="s">
        <v>801</v>
      </c>
    </row>
    <row r="1015" spans="12:20" x14ac:dyDescent="0.35">
      <c r="L1015" t="str">
        <f ca="1">IFERROR(_xludf.XLOOKUP(C1015,CodePath_Defaults!A:A,CodePath_Defaults!D:D,""),IFERROR(_xludf.XLOOKUP(B1015,CodePath_Defaults!B:B,CodePath_Defaults!D:D,""),""))</f>
        <v/>
      </c>
      <c r="T1015" t="s">
        <v>801</v>
      </c>
    </row>
    <row r="1016" spans="12:20" x14ac:dyDescent="0.35">
      <c r="L1016" t="str">
        <f ca="1">IFERROR(_xludf.XLOOKUP(C1016,CodePath_Defaults!A:A,CodePath_Defaults!D:D,""),IFERROR(_xludf.XLOOKUP(B1016,CodePath_Defaults!B:B,CodePath_Defaults!D:D,""),""))</f>
        <v/>
      </c>
      <c r="T1016" t="s">
        <v>801</v>
      </c>
    </row>
    <row r="1017" spans="12:20" x14ac:dyDescent="0.35">
      <c r="L1017" t="str">
        <f ca="1">IFERROR(_xludf.XLOOKUP(C1017,CodePath_Defaults!A:A,CodePath_Defaults!D:D,""),IFERROR(_xludf.XLOOKUP(B1017,CodePath_Defaults!B:B,CodePath_Defaults!D:D,""),""))</f>
        <v/>
      </c>
      <c r="T1017" t="s">
        <v>801</v>
      </c>
    </row>
    <row r="1018" spans="12:20" x14ac:dyDescent="0.35">
      <c r="L1018" t="str">
        <f ca="1">IFERROR(_xludf.XLOOKUP(C1018,CodePath_Defaults!A:A,CodePath_Defaults!D:D,""),IFERROR(_xludf.XLOOKUP(B1018,CodePath_Defaults!B:B,CodePath_Defaults!D:D,""),""))</f>
        <v/>
      </c>
      <c r="T1018" t="s">
        <v>801</v>
      </c>
    </row>
    <row r="1019" spans="12:20" x14ac:dyDescent="0.35">
      <c r="L1019" t="str">
        <f ca="1">IFERROR(_xludf.XLOOKUP(C1019,CodePath_Defaults!A:A,CodePath_Defaults!D:D,""),IFERROR(_xludf.XLOOKUP(B1019,CodePath_Defaults!B:B,CodePath_Defaults!D:D,""),""))</f>
        <v/>
      </c>
      <c r="T1019" t="s">
        <v>801</v>
      </c>
    </row>
    <row r="1020" spans="12:20" x14ac:dyDescent="0.35">
      <c r="L1020" t="str">
        <f ca="1">IFERROR(_xludf.XLOOKUP(C1020,CodePath_Defaults!A:A,CodePath_Defaults!D:D,""),IFERROR(_xludf.XLOOKUP(B1020,CodePath_Defaults!B:B,CodePath_Defaults!D:D,""),""))</f>
        <v/>
      </c>
      <c r="T1020" t="s">
        <v>801</v>
      </c>
    </row>
    <row r="1021" spans="12:20" x14ac:dyDescent="0.35">
      <c r="L1021" t="str">
        <f ca="1">IFERROR(_xludf.XLOOKUP(C1021,CodePath_Defaults!A:A,CodePath_Defaults!D:D,""),IFERROR(_xludf.XLOOKUP(B1021,CodePath_Defaults!B:B,CodePath_Defaults!D:D,""),""))</f>
        <v/>
      </c>
      <c r="T1021" t="s">
        <v>801</v>
      </c>
    </row>
    <row r="1022" spans="12:20" x14ac:dyDescent="0.35">
      <c r="L1022" t="str">
        <f ca="1">IFERROR(_xludf.XLOOKUP(C1022,CodePath_Defaults!A:A,CodePath_Defaults!D:D,""),IFERROR(_xludf.XLOOKUP(B1022,CodePath_Defaults!B:B,CodePath_Defaults!D:D,""),""))</f>
        <v/>
      </c>
      <c r="T1022" t="s">
        <v>801</v>
      </c>
    </row>
    <row r="1023" spans="12:20" x14ac:dyDescent="0.35">
      <c r="L1023" t="str">
        <f ca="1">IFERROR(_xludf.XLOOKUP(C1023,CodePath_Defaults!A:A,CodePath_Defaults!D:D,""),IFERROR(_xludf.XLOOKUP(B1023,CodePath_Defaults!B:B,CodePath_Defaults!D:D,""),""))</f>
        <v/>
      </c>
      <c r="T1023" t="s">
        <v>801</v>
      </c>
    </row>
    <row r="1024" spans="12:20" x14ac:dyDescent="0.35">
      <c r="L1024" t="str">
        <f ca="1">IFERROR(_xludf.XLOOKUP(C1024,CodePath_Defaults!A:A,CodePath_Defaults!D:D,""),IFERROR(_xludf.XLOOKUP(B1024,CodePath_Defaults!B:B,CodePath_Defaults!D:D,""),""))</f>
        <v/>
      </c>
      <c r="T1024" t="s">
        <v>801</v>
      </c>
    </row>
    <row r="1025" spans="12:20" x14ac:dyDescent="0.35">
      <c r="L1025" t="str">
        <f ca="1">IFERROR(_xludf.XLOOKUP(C1025,CodePath_Defaults!A:A,CodePath_Defaults!D:D,""),IFERROR(_xludf.XLOOKUP(B1025,CodePath_Defaults!B:B,CodePath_Defaults!D:D,""),""))</f>
        <v/>
      </c>
      <c r="T1025" t="s">
        <v>801</v>
      </c>
    </row>
    <row r="1026" spans="12:20" x14ac:dyDescent="0.35">
      <c r="L1026" t="str">
        <f ca="1">IFERROR(_xludf.XLOOKUP(C1026,CodePath_Defaults!A:A,CodePath_Defaults!D:D,""),IFERROR(_xludf.XLOOKUP(B1026,CodePath_Defaults!B:B,CodePath_Defaults!D:D,""),""))</f>
        <v/>
      </c>
      <c r="T1026" t="s">
        <v>801</v>
      </c>
    </row>
    <row r="1027" spans="12:20" x14ac:dyDescent="0.35">
      <c r="L1027" t="str">
        <f ca="1">IFERROR(_xludf.XLOOKUP(C1027,CodePath_Defaults!A:A,CodePath_Defaults!D:D,""),IFERROR(_xludf.XLOOKUP(B1027,CodePath_Defaults!B:B,CodePath_Defaults!D:D,""),""))</f>
        <v/>
      </c>
      <c r="T1027" t="s">
        <v>801</v>
      </c>
    </row>
    <row r="1028" spans="12:20" x14ac:dyDescent="0.35">
      <c r="L1028" t="str">
        <f ca="1">IFERROR(_xludf.XLOOKUP(C1028,CodePath_Defaults!A:A,CodePath_Defaults!D:D,""),IFERROR(_xludf.XLOOKUP(B1028,CodePath_Defaults!B:B,CodePath_Defaults!D:D,""),""))</f>
        <v/>
      </c>
      <c r="T1028" t="s">
        <v>801</v>
      </c>
    </row>
    <row r="1029" spans="12:20" x14ac:dyDescent="0.35">
      <c r="L1029" t="str">
        <f ca="1">IFERROR(_xludf.XLOOKUP(C1029,CodePath_Defaults!A:A,CodePath_Defaults!D:D,""),IFERROR(_xludf.XLOOKUP(B1029,CodePath_Defaults!B:B,CodePath_Defaults!D:D,""),""))</f>
        <v/>
      </c>
      <c r="T1029" t="s">
        <v>801</v>
      </c>
    </row>
    <row r="1030" spans="12:20" x14ac:dyDescent="0.35">
      <c r="L1030" t="str">
        <f ca="1">IFERROR(_xludf.XLOOKUP(C1030,CodePath_Defaults!A:A,CodePath_Defaults!D:D,""),IFERROR(_xludf.XLOOKUP(B1030,CodePath_Defaults!B:B,CodePath_Defaults!D:D,""),""))</f>
        <v/>
      </c>
      <c r="T1030" t="s">
        <v>801</v>
      </c>
    </row>
    <row r="1031" spans="12:20" x14ac:dyDescent="0.35">
      <c r="L1031" t="str">
        <f ca="1">IFERROR(_xludf.XLOOKUP(C1031,CodePath_Defaults!A:A,CodePath_Defaults!D:D,""),IFERROR(_xludf.XLOOKUP(B1031,CodePath_Defaults!B:B,CodePath_Defaults!D:D,""),""))</f>
        <v/>
      </c>
      <c r="T1031" t="s">
        <v>801</v>
      </c>
    </row>
    <row r="1032" spans="12:20" x14ac:dyDescent="0.35">
      <c r="L1032" t="str">
        <f ca="1">IFERROR(_xludf.XLOOKUP(C1032,CodePath_Defaults!A:A,CodePath_Defaults!D:D,""),IFERROR(_xludf.XLOOKUP(B1032,CodePath_Defaults!B:B,CodePath_Defaults!D:D,""),""))</f>
        <v/>
      </c>
      <c r="T1032" t="s">
        <v>801</v>
      </c>
    </row>
    <row r="1033" spans="12:20" x14ac:dyDescent="0.35">
      <c r="L1033" t="str">
        <f ca="1">IFERROR(_xludf.XLOOKUP(C1033,CodePath_Defaults!A:A,CodePath_Defaults!D:D,""),IFERROR(_xludf.XLOOKUP(B1033,CodePath_Defaults!B:B,CodePath_Defaults!D:D,""),""))</f>
        <v/>
      </c>
      <c r="T1033" t="s">
        <v>801</v>
      </c>
    </row>
    <row r="1034" spans="12:20" x14ac:dyDescent="0.35">
      <c r="L1034" t="str">
        <f ca="1">IFERROR(_xludf.XLOOKUP(C1034,CodePath_Defaults!A:A,CodePath_Defaults!D:D,""),IFERROR(_xludf.XLOOKUP(B1034,CodePath_Defaults!B:B,CodePath_Defaults!D:D,""),""))</f>
        <v/>
      </c>
      <c r="T1034" t="s">
        <v>801</v>
      </c>
    </row>
    <row r="1035" spans="12:20" x14ac:dyDescent="0.35">
      <c r="L1035" t="str">
        <f ca="1">IFERROR(_xludf.XLOOKUP(C1035,CodePath_Defaults!A:A,CodePath_Defaults!D:D,""),IFERROR(_xludf.XLOOKUP(B1035,CodePath_Defaults!B:B,CodePath_Defaults!D:D,""),""))</f>
        <v/>
      </c>
      <c r="T1035" t="s">
        <v>801</v>
      </c>
    </row>
    <row r="1036" spans="12:20" x14ac:dyDescent="0.35">
      <c r="L1036" t="str">
        <f ca="1">IFERROR(_xludf.XLOOKUP(C1036,CodePath_Defaults!A:A,CodePath_Defaults!D:D,""),IFERROR(_xludf.XLOOKUP(B1036,CodePath_Defaults!B:B,CodePath_Defaults!D:D,""),""))</f>
        <v/>
      </c>
      <c r="T1036" t="s">
        <v>801</v>
      </c>
    </row>
    <row r="1037" spans="12:20" x14ac:dyDescent="0.35">
      <c r="L1037" t="str">
        <f ca="1">IFERROR(_xludf.XLOOKUP(C1037,CodePath_Defaults!A:A,CodePath_Defaults!D:D,""),IFERROR(_xludf.XLOOKUP(B1037,CodePath_Defaults!B:B,CodePath_Defaults!D:D,""),""))</f>
        <v/>
      </c>
      <c r="T1037" t="s">
        <v>801</v>
      </c>
    </row>
    <row r="1038" spans="12:20" x14ac:dyDescent="0.35">
      <c r="L1038" t="str">
        <f ca="1">IFERROR(_xludf.XLOOKUP(C1038,CodePath_Defaults!A:A,CodePath_Defaults!D:D,""),IFERROR(_xludf.XLOOKUP(B1038,CodePath_Defaults!B:B,CodePath_Defaults!D:D,""),""))</f>
        <v/>
      </c>
      <c r="T1038" t="s">
        <v>801</v>
      </c>
    </row>
    <row r="1039" spans="12:20" x14ac:dyDescent="0.35">
      <c r="L1039" t="str">
        <f ca="1">IFERROR(_xludf.XLOOKUP(C1039,CodePath_Defaults!A:A,CodePath_Defaults!D:D,""),IFERROR(_xludf.XLOOKUP(B1039,CodePath_Defaults!B:B,CodePath_Defaults!D:D,""),""))</f>
        <v/>
      </c>
      <c r="T1039" t="s">
        <v>801</v>
      </c>
    </row>
    <row r="1040" spans="12:20" x14ac:dyDescent="0.35">
      <c r="L1040" t="str">
        <f ca="1">IFERROR(_xludf.XLOOKUP(C1040,CodePath_Defaults!A:A,CodePath_Defaults!D:D,""),IFERROR(_xludf.XLOOKUP(B1040,CodePath_Defaults!B:B,CodePath_Defaults!D:D,""),""))</f>
        <v/>
      </c>
      <c r="T1040" t="s">
        <v>801</v>
      </c>
    </row>
    <row r="1041" spans="12:20" x14ac:dyDescent="0.35">
      <c r="L1041" t="str">
        <f ca="1">IFERROR(_xludf.XLOOKUP(C1041,CodePath_Defaults!A:A,CodePath_Defaults!D:D,""),IFERROR(_xludf.XLOOKUP(B1041,CodePath_Defaults!B:B,CodePath_Defaults!D:D,""),""))</f>
        <v/>
      </c>
      <c r="T1041" t="s">
        <v>801</v>
      </c>
    </row>
    <row r="1042" spans="12:20" x14ac:dyDescent="0.35">
      <c r="L1042" t="str">
        <f ca="1">IFERROR(_xludf.XLOOKUP(C1042,CodePath_Defaults!A:A,CodePath_Defaults!D:D,""),IFERROR(_xludf.XLOOKUP(B1042,CodePath_Defaults!B:B,CodePath_Defaults!D:D,""),""))</f>
        <v/>
      </c>
      <c r="T1042" t="s">
        <v>801</v>
      </c>
    </row>
    <row r="1043" spans="12:20" x14ac:dyDescent="0.35">
      <c r="L1043" t="str">
        <f ca="1">IFERROR(_xludf.XLOOKUP(C1043,CodePath_Defaults!A:A,CodePath_Defaults!D:D,""),IFERROR(_xludf.XLOOKUP(B1043,CodePath_Defaults!B:B,CodePath_Defaults!D:D,""),""))</f>
        <v/>
      </c>
      <c r="T1043" t="s">
        <v>801</v>
      </c>
    </row>
    <row r="1044" spans="12:20" x14ac:dyDescent="0.35">
      <c r="L1044" t="str">
        <f ca="1">IFERROR(_xludf.XLOOKUP(C1044,CodePath_Defaults!A:A,CodePath_Defaults!D:D,""),IFERROR(_xludf.XLOOKUP(B1044,CodePath_Defaults!B:B,CodePath_Defaults!D:D,""),""))</f>
        <v/>
      </c>
      <c r="T1044" t="s">
        <v>801</v>
      </c>
    </row>
    <row r="1045" spans="12:20" x14ac:dyDescent="0.35">
      <c r="L1045" t="str">
        <f ca="1">IFERROR(_xludf.XLOOKUP(C1045,CodePath_Defaults!A:A,CodePath_Defaults!D:D,""),IFERROR(_xludf.XLOOKUP(B1045,CodePath_Defaults!B:B,CodePath_Defaults!D:D,""),""))</f>
        <v/>
      </c>
      <c r="T1045" t="s">
        <v>801</v>
      </c>
    </row>
    <row r="1046" spans="12:20" x14ac:dyDescent="0.35">
      <c r="L1046" t="str">
        <f ca="1">IFERROR(_xludf.XLOOKUP(C1046,CodePath_Defaults!A:A,CodePath_Defaults!D:D,""),IFERROR(_xludf.XLOOKUP(B1046,CodePath_Defaults!B:B,CodePath_Defaults!D:D,""),""))</f>
        <v/>
      </c>
      <c r="T1046" t="s">
        <v>801</v>
      </c>
    </row>
    <row r="1047" spans="12:20" x14ac:dyDescent="0.35">
      <c r="L1047" t="str">
        <f ca="1">IFERROR(_xludf.XLOOKUP(C1047,CodePath_Defaults!A:A,CodePath_Defaults!D:D,""),IFERROR(_xludf.XLOOKUP(B1047,CodePath_Defaults!B:B,CodePath_Defaults!D:D,""),""))</f>
        <v/>
      </c>
      <c r="T1047" t="s">
        <v>801</v>
      </c>
    </row>
    <row r="1048" spans="12:20" x14ac:dyDescent="0.35">
      <c r="L1048" t="str">
        <f ca="1">IFERROR(_xludf.XLOOKUP(C1048,CodePath_Defaults!A:A,CodePath_Defaults!D:D,""),IFERROR(_xludf.XLOOKUP(B1048,CodePath_Defaults!B:B,CodePath_Defaults!D:D,""),""))</f>
        <v/>
      </c>
      <c r="T1048" t="s">
        <v>801</v>
      </c>
    </row>
    <row r="1049" spans="12:20" x14ac:dyDescent="0.35">
      <c r="L1049" t="str">
        <f ca="1">IFERROR(_xludf.XLOOKUP(C1049,CodePath_Defaults!A:A,CodePath_Defaults!D:D,""),IFERROR(_xludf.XLOOKUP(B1049,CodePath_Defaults!B:B,CodePath_Defaults!D:D,""),""))</f>
        <v/>
      </c>
      <c r="T1049" t="s">
        <v>801</v>
      </c>
    </row>
    <row r="1050" spans="12:20" x14ac:dyDescent="0.35">
      <c r="L1050" t="str">
        <f ca="1">IFERROR(_xludf.XLOOKUP(C1050,CodePath_Defaults!A:A,CodePath_Defaults!D:D,""),IFERROR(_xludf.XLOOKUP(B1050,CodePath_Defaults!B:B,CodePath_Defaults!D:D,""),""))</f>
        <v/>
      </c>
      <c r="T1050" t="s">
        <v>801</v>
      </c>
    </row>
    <row r="1051" spans="12:20" x14ac:dyDescent="0.35">
      <c r="L1051" t="str">
        <f ca="1">IFERROR(_xludf.XLOOKUP(C1051,CodePath_Defaults!A:A,CodePath_Defaults!D:D,""),IFERROR(_xludf.XLOOKUP(B1051,CodePath_Defaults!B:B,CodePath_Defaults!D:D,""),""))</f>
        <v/>
      </c>
      <c r="T1051" t="s">
        <v>801</v>
      </c>
    </row>
    <row r="1052" spans="12:20" x14ac:dyDescent="0.35">
      <c r="L1052" t="str">
        <f ca="1">IFERROR(_xludf.XLOOKUP(C1052,CodePath_Defaults!A:A,CodePath_Defaults!D:D,""),IFERROR(_xludf.XLOOKUP(B1052,CodePath_Defaults!B:B,CodePath_Defaults!D:D,""),""))</f>
        <v/>
      </c>
      <c r="T1052" t="s">
        <v>801</v>
      </c>
    </row>
    <row r="1053" spans="12:20" x14ac:dyDescent="0.35">
      <c r="L1053" t="str">
        <f ca="1">IFERROR(_xludf.XLOOKUP(C1053,CodePath_Defaults!A:A,CodePath_Defaults!D:D,""),IFERROR(_xludf.XLOOKUP(B1053,CodePath_Defaults!B:B,CodePath_Defaults!D:D,""),""))</f>
        <v/>
      </c>
      <c r="T1053" t="s">
        <v>801</v>
      </c>
    </row>
    <row r="1054" spans="12:20" x14ac:dyDescent="0.35">
      <c r="L1054" t="str">
        <f ca="1">IFERROR(_xludf.XLOOKUP(C1054,CodePath_Defaults!A:A,CodePath_Defaults!D:D,""),IFERROR(_xludf.XLOOKUP(B1054,CodePath_Defaults!B:B,CodePath_Defaults!D:D,""),""))</f>
        <v/>
      </c>
      <c r="T1054" t="s">
        <v>801</v>
      </c>
    </row>
    <row r="1055" spans="12:20" x14ac:dyDescent="0.35">
      <c r="L1055" t="str">
        <f ca="1">IFERROR(_xludf.XLOOKUP(C1055,CodePath_Defaults!A:A,CodePath_Defaults!D:D,""),IFERROR(_xludf.XLOOKUP(B1055,CodePath_Defaults!B:B,CodePath_Defaults!D:D,""),""))</f>
        <v/>
      </c>
      <c r="T1055" t="s">
        <v>801</v>
      </c>
    </row>
    <row r="1056" spans="12:20" x14ac:dyDescent="0.35">
      <c r="L1056" t="str">
        <f ca="1">IFERROR(_xludf.XLOOKUP(C1056,CodePath_Defaults!A:A,CodePath_Defaults!D:D,""),IFERROR(_xludf.XLOOKUP(B1056,CodePath_Defaults!B:B,CodePath_Defaults!D:D,""),""))</f>
        <v/>
      </c>
      <c r="T1056" t="s">
        <v>801</v>
      </c>
    </row>
    <row r="1057" spans="12:20" x14ac:dyDescent="0.35">
      <c r="L1057" t="str">
        <f ca="1">IFERROR(_xludf.XLOOKUP(C1057,CodePath_Defaults!A:A,CodePath_Defaults!D:D,""),IFERROR(_xludf.XLOOKUP(B1057,CodePath_Defaults!B:B,CodePath_Defaults!D:D,""),""))</f>
        <v/>
      </c>
      <c r="T1057" t="s">
        <v>801</v>
      </c>
    </row>
    <row r="1058" spans="12:20" x14ac:dyDescent="0.35">
      <c r="L1058" t="str">
        <f ca="1">IFERROR(_xludf.XLOOKUP(C1058,CodePath_Defaults!A:A,CodePath_Defaults!D:D,""),IFERROR(_xludf.XLOOKUP(B1058,CodePath_Defaults!B:B,CodePath_Defaults!D:D,""),""))</f>
        <v/>
      </c>
      <c r="T1058" t="s">
        <v>801</v>
      </c>
    </row>
    <row r="1059" spans="12:20" x14ac:dyDescent="0.35">
      <c r="L1059" t="str">
        <f ca="1">IFERROR(_xludf.XLOOKUP(C1059,CodePath_Defaults!A:A,CodePath_Defaults!D:D,""),IFERROR(_xludf.XLOOKUP(B1059,CodePath_Defaults!B:B,CodePath_Defaults!D:D,""),""))</f>
        <v/>
      </c>
      <c r="T1059" t="s">
        <v>801</v>
      </c>
    </row>
    <row r="1060" spans="12:20" x14ac:dyDescent="0.35">
      <c r="L1060" t="str">
        <f ca="1">IFERROR(_xludf.XLOOKUP(C1060,CodePath_Defaults!A:A,CodePath_Defaults!D:D,""),IFERROR(_xludf.XLOOKUP(B1060,CodePath_Defaults!B:B,CodePath_Defaults!D:D,""),""))</f>
        <v/>
      </c>
      <c r="T1060" t="s">
        <v>801</v>
      </c>
    </row>
    <row r="1061" spans="12:20" x14ac:dyDescent="0.35">
      <c r="L1061" t="str">
        <f ca="1">IFERROR(_xludf.XLOOKUP(C1061,CodePath_Defaults!A:A,CodePath_Defaults!D:D,""),IFERROR(_xludf.XLOOKUP(B1061,CodePath_Defaults!B:B,CodePath_Defaults!D:D,""),""))</f>
        <v/>
      </c>
      <c r="T1061" t="s">
        <v>801</v>
      </c>
    </row>
    <row r="1062" spans="12:20" x14ac:dyDescent="0.35">
      <c r="L1062" t="str">
        <f ca="1">IFERROR(_xludf.XLOOKUP(C1062,CodePath_Defaults!A:A,CodePath_Defaults!D:D,""),IFERROR(_xludf.XLOOKUP(B1062,CodePath_Defaults!B:B,CodePath_Defaults!D:D,""),""))</f>
        <v/>
      </c>
      <c r="T1062" t="s">
        <v>801</v>
      </c>
    </row>
    <row r="1063" spans="12:20" x14ac:dyDescent="0.35">
      <c r="L1063" t="str">
        <f ca="1">IFERROR(_xludf.XLOOKUP(C1063,CodePath_Defaults!A:A,CodePath_Defaults!D:D,""),IFERROR(_xludf.XLOOKUP(B1063,CodePath_Defaults!B:B,CodePath_Defaults!D:D,""),""))</f>
        <v/>
      </c>
      <c r="T1063" t="s">
        <v>801</v>
      </c>
    </row>
    <row r="1064" spans="12:20" x14ac:dyDescent="0.35">
      <c r="L1064" t="str">
        <f ca="1">IFERROR(_xludf.XLOOKUP(C1064,CodePath_Defaults!A:A,CodePath_Defaults!D:D,""),IFERROR(_xludf.XLOOKUP(B1064,CodePath_Defaults!B:B,CodePath_Defaults!D:D,""),""))</f>
        <v/>
      </c>
      <c r="T1064" t="s">
        <v>801</v>
      </c>
    </row>
    <row r="1065" spans="12:20" x14ac:dyDescent="0.35">
      <c r="L1065" t="str">
        <f ca="1">IFERROR(_xludf.XLOOKUP(C1065,CodePath_Defaults!A:A,CodePath_Defaults!D:D,""),IFERROR(_xludf.XLOOKUP(B1065,CodePath_Defaults!B:B,CodePath_Defaults!D:D,""),""))</f>
        <v/>
      </c>
      <c r="T1065" t="s">
        <v>801</v>
      </c>
    </row>
    <row r="1066" spans="12:20" x14ac:dyDescent="0.35">
      <c r="L1066" t="str">
        <f ca="1">IFERROR(_xludf.XLOOKUP(C1066,CodePath_Defaults!A:A,CodePath_Defaults!D:D,""),IFERROR(_xludf.XLOOKUP(B1066,CodePath_Defaults!B:B,CodePath_Defaults!D:D,""),""))</f>
        <v/>
      </c>
      <c r="T1066" t="s">
        <v>801</v>
      </c>
    </row>
    <row r="1067" spans="12:20" x14ac:dyDescent="0.35">
      <c r="L1067" t="str">
        <f ca="1">IFERROR(_xludf.XLOOKUP(C1067,CodePath_Defaults!A:A,CodePath_Defaults!D:D,""),IFERROR(_xludf.XLOOKUP(B1067,CodePath_Defaults!B:B,CodePath_Defaults!D:D,""),""))</f>
        <v/>
      </c>
      <c r="T1067" t="s">
        <v>801</v>
      </c>
    </row>
    <row r="1068" spans="12:20" x14ac:dyDescent="0.35">
      <c r="L1068" t="str">
        <f ca="1">IFERROR(_xludf.XLOOKUP(C1068,CodePath_Defaults!A:A,CodePath_Defaults!D:D,""),IFERROR(_xludf.XLOOKUP(B1068,CodePath_Defaults!B:B,CodePath_Defaults!D:D,""),""))</f>
        <v/>
      </c>
      <c r="T1068" t="s">
        <v>801</v>
      </c>
    </row>
    <row r="1069" spans="12:20" x14ac:dyDescent="0.35">
      <c r="L1069" t="str">
        <f ca="1">IFERROR(_xludf.XLOOKUP(C1069,CodePath_Defaults!A:A,CodePath_Defaults!D:D,""),IFERROR(_xludf.XLOOKUP(B1069,CodePath_Defaults!B:B,CodePath_Defaults!D:D,""),""))</f>
        <v/>
      </c>
      <c r="T1069" t="s">
        <v>801</v>
      </c>
    </row>
    <row r="1070" spans="12:20" x14ac:dyDescent="0.35">
      <c r="L1070" t="str">
        <f ca="1">IFERROR(_xludf.XLOOKUP(C1070,CodePath_Defaults!A:A,CodePath_Defaults!D:D,""),IFERROR(_xludf.XLOOKUP(B1070,CodePath_Defaults!B:B,CodePath_Defaults!D:D,""),""))</f>
        <v/>
      </c>
      <c r="T1070" t="s">
        <v>801</v>
      </c>
    </row>
    <row r="1071" spans="12:20" x14ac:dyDescent="0.35">
      <c r="L1071" t="str">
        <f ca="1">IFERROR(_xludf.XLOOKUP(C1071,CodePath_Defaults!A:A,CodePath_Defaults!D:D,""),IFERROR(_xludf.XLOOKUP(B1071,CodePath_Defaults!B:B,CodePath_Defaults!D:D,""),""))</f>
        <v/>
      </c>
      <c r="T1071" t="s">
        <v>801</v>
      </c>
    </row>
    <row r="1072" spans="12:20" x14ac:dyDescent="0.35">
      <c r="L1072" t="str">
        <f ca="1">IFERROR(_xludf.XLOOKUP(C1072,CodePath_Defaults!A:A,CodePath_Defaults!D:D,""),IFERROR(_xludf.XLOOKUP(B1072,CodePath_Defaults!B:B,CodePath_Defaults!D:D,""),""))</f>
        <v/>
      </c>
      <c r="T1072" t="s">
        <v>801</v>
      </c>
    </row>
    <row r="1073" spans="12:20" x14ac:dyDescent="0.35">
      <c r="L1073" t="str">
        <f ca="1">IFERROR(_xludf.XLOOKUP(C1073,CodePath_Defaults!A:A,CodePath_Defaults!D:D,""),IFERROR(_xludf.XLOOKUP(B1073,CodePath_Defaults!B:B,CodePath_Defaults!D:D,""),""))</f>
        <v/>
      </c>
      <c r="T1073" t="s">
        <v>801</v>
      </c>
    </row>
    <row r="1074" spans="12:20" x14ac:dyDescent="0.35">
      <c r="L1074" t="str">
        <f ca="1">IFERROR(_xludf.XLOOKUP(C1074,CodePath_Defaults!A:A,CodePath_Defaults!D:D,""),IFERROR(_xludf.XLOOKUP(B1074,CodePath_Defaults!B:B,CodePath_Defaults!D:D,""),""))</f>
        <v/>
      </c>
      <c r="T1074" t="s">
        <v>801</v>
      </c>
    </row>
    <row r="1075" spans="12:20" x14ac:dyDescent="0.35">
      <c r="L1075" t="str">
        <f ca="1">IFERROR(_xludf.XLOOKUP(C1075,CodePath_Defaults!A:A,CodePath_Defaults!D:D,""),IFERROR(_xludf.XLOOKUP(B1075,CodePath_Defaults!B:B,CodePath_Defaults!D:D,""),""))</f>
        <v/>
      </c>
      <c r="T1075" t="s">
        <v>801</v>
      </c>
    </row>
    <row r="1076" spans="12:20" x14ac:dyDescent="0.35">
      <c r="L1076" t="str">
        <f ca="1">IFERROR(_xludf.XLOOKUP(C1076,CodePath_Defaults!A:A,CodePath_Defaults!D:D,""),IFERROR(_xludf.XLOOKUP(B1076,CodePath_Defaults!B:B,CodePath_Defaults!D:D,""),""))</f>
        <v/>
      </c>
      <c r="T1076" t="s">
        <v>801</v>
      </c>
    </row>
    <row r="1077" spans="12:20" x14ac:dyDescent="0.35">
      <c r="L1077" t="str">
        <f ca="1">IFERROR(_xludf.XLOOKUP(C1077,CodePath_Defaults!A:A,CodePath_Defaults!D:D,""),IFERROR(_xludf.XLOOKUP(B1077,CodePath_Defaults!B:B,CodePath_Defaults!D:D,""),""))</f>
        <v/>
      </c>
      <c r="T1077" t="s">
        <v>801</v>
      </c>
    </row>
    <row r="1078" spans="12:20" x14ac:dyDescent="0.35">
      <c r="L1078" t="str">
        <f ca="1">IFERROR(_xludf.XLOOKUP(C1078,CodePath_Defaults!A:A,CodePath_Defaults!D:D,""),IFERROR(_xludf.XLOOKUP(B1078,CodePath_Defaults!B:B,CodePath_Defaults!D:D,""),""))</f>
        <v/>
      </c>
      <c r="T1078" t="s">
        <v>801</v>
      </c>
    </row>
    <row r="1079" spans="12:20" x14ac:dyDescent="0.35">
      <c r="L1079" t="str">
        <f ca="1">IFERROR(_xludf.XLOOKUP(C1079,CodePath_Defaults!A:A,CodePath_Defaults!D:D,""),IFERROR(_xludf.XLOOKUP(B1079,CodePath_Defaults!B:B,CodePath_Defaults!D:D,""),""))</f>
        <v/>
      </c>
      <c r="T1079" t="s">
        <v>801</v>
      </c>
    </row>
    <row r="1080" spans="12:20" x14ac:dyDescent="0.35">
      <c r="L1080" t="str">
        <f ca="1">IFERROR(_xludf.XLOOKUP(C1080,CodePath_Defaults!A:A,CodePath_Defaults!D:D,""),IFERROR(_xludf.XLOOKUP(B1080,CodePath_Defaults!B:B,CodePath_Defaults!D:D,""),""))</f>
        <v/>
      </c>
      <c r="T1080" t="s">
        <v>801</v>
      </c>
    </row>
    <row r="1081" spans="12:20" x14ac:dyDescent="0.35">
      <c r="L1081" t="str">
        <f ca="1">IFERROR(_xludf.XLOOKUP(C1081,CodePath_Defaults!A:A,CodePath_Defaults!D:D,""),IFERROR(_xludf.XLOOKUP(B1081,CodePath_Defaults!B:B,CodePath_Defaults!D:D,""),""))</f>
        <v/>
      </c>
      <c r="T1081" t="s">
        <v>801</v>
      </c>
    </row>
    <row r="1082" spans="12:20" x14ac:dyDescent="0.35">
      <c r="L1082" t="str">
        <f ca="1">IFERROR(_xludf.XLOOKUP(C1082,CodePath_Defaults!A:A,CodePath_Defaults!D:D,""),IFERROR(_xludf.XLOOKUP(B1082,CodePath_Defaults!B:B,CodePath_Defaults!D:D,""),""))</f>
        <v/>
      </c>
      <c r="T1082" t="s">
        <v>801</v>
      </c>
    </row>
    <row r="1083" spans="12:20" x14ac:dyDescent="0.35">
      <c r="L1083" t="str">
        <f ca="1">IFERROR(_xludf.XLOOKUP(C1083,CodePath_Defaults!A:A,CodePath_Defaults!D:D,""),IFERROR(_xludf.XLOOKUP(B1083,CodePath_Defaults!B:B,CodePath_Defaults!D:D,""),""))</f>
        <v/>
      </c>
      <c r="T1083" t="s">
        <v>801</v>
      </c>
    </row>
    <row r="1084" spans="12:20" x14ac:dyDescent="0.35">
      <c r="L1084" t="str">
        <f ca="1">IFERROR(_xludf.XLOOKUP(C1084,CodePath_Defaults!A:A,CodePath_Defaults!D:D,""),IFERROR(_xludf.XLOOKUP(B1084,CodePath_Defaults!B:B,CodePath_Defaults!D:D,""),""))</f>
        <v/>
      </c>
      <c r="T1084" t="s">
        <v>801</v>
      </c>
    </row>
    <row r="1085" spans="12:20" x14ac:dyDescent="0.35">
      <c r="L1085" t="str">
        <f ca="1">IFERROR(_xludf.XLOOKUP(C1085,CodePath_Defaults!A:A,CodePath_Defaults!D:D,""),IFERROR(_xludf.XLOOKUP(B1085,CodePath_Defaults!B:B,CodePath_Defaults!D:D,""),""))</f>
        <v/>
      </c>
      <c r="T1085" t="s">
        <v>801</v>
      </c>
    </row>
    <row r="1086" spans="12:20" x14ac:dyDescent="0.35">
      <c r="L1086" t="str">
        <f ca="1">IFERROR(_xludf.XLOOKUP(C1086,CodePath_Defaults!A:A,CodePath_Defaults!D:D,""),IFERROR(_xludf.XLOOKUP(B1086,CodePath_Defaults!B:B,CodePath_Defaults!D:D,""),""))</f>
        <v/>
      </c>
      <c r="T1086" t="s">
        <v>801</v>
      </c>
    </row>
    <row r="1087" spans="12:20" x14ac:dyDescent="0.35">
      <c r="L1087" t="str">
        <f ca="1">IFERROR(_xludf.XLOOKUP(C1087,CodePath_Defaults!A:A,CodePath_Defaults!D:D,""),IFERROR(_xludf.XLOOKUP(B1087,CodePath_Defaults!B:B,CodePath_Defaults!D:D,""),""))</f>
        <v/>
      </c>
      <c r="T1087" t="s">
        <v>801</v>
      </c>
    </row>
    <row r="1088" spans="12:20" x14ac:dyDescent="0.35">
      <c r="L1088" t="str">
        <f ca="1">IFERROR(_xludf.XLOOKUP(C1088,CodePath_Defaults!A:A,CodePath_Defaults!D:D,""),IFERROR(_xludf.XLOOKUP(B1088,CodePath_Defaults!B:B,CodePath_Defaults!D:D,""),""))</f>
        <v/>
      </c>
      <c r="T1088" t="s">
        <v>801</v>
      </c>
    </row>
    <row r="1089" spans="12:20" x14ac:dyDescent="0.35">
      <c r="L1089" t="str">
        <f ca="1">IFERROR(_xludf.XLOOKUP(C1089,CodePath_Defaults!A:A,CodePath_Defaults!D:D,""),IFERROR(_xludf.XLOOKUP(B1089,CodePath_Defaults!B:B,CodePath_Defaults!D:D,""),""))</f>
        <v/>
      </c>
      <c r="T1089" t="s">
        <v>801</v>
      </c>
    </row>
    <row r="1090" spans="12:20" x14ac:dyDescent="0.35">
      <c r="L1090" t="str">
        <f ca="1">IFERROR(_xludf.XLOOKUP(C1090,CodePath_Defaults!A:A,CodePath_Defaults!D:D,""),IFERROR(_xludf.XLOOKUP(B1090,CodePath_Defaults!B:B,CodePath_Defaults!D:D,""),""))</f>
        <v/>
      </c>
      <c r="T1090" t="s">
        <v>801</v>
      </c>
    </row>
    <row r="1091" spans="12:20" x14ac:dyDescent="0.35">
      <c r="L1091" t="str">
        <f ca="1">IFERROR(_xludf.XLOOKUP(C1091,CodePath_Defaults!A:A,CodePath_Defaults!D:D,""),IFERROR(_xludf.XLOOKUP(B1091,CodePath_Defaults!B:B,CodePath_Defaults!D:D,""),""))</f>
        <v/>
      </c>
      <c r="T1091" t="s">
        <v>801</v>
      </c>
    </row>
    <row r="1092" spans="12:20" x14ac:dyDescent="0.35">
      <c r="L1092" t="str">
        <f ca="1">IFERROR(_xludf.XLOOKUP(C1092,CodePath_Defaults!A:A,CodePath_Defaults!D:D,""),IFERROR(_xludf.XLOOKUP(B1092,CodePath_Defaults!B:B,CodePath_Defaults!D:D,""),""))</f>
        <v/>
      </c>
      <c r="T1092" t="s">
        <v>801</v>
      </c>
    </row>
    <row r="1093" spans="12:20" x14ac:dyDescent="0.35">
      <c r="L1093" t="str">
        <f ca="1">IFERROR(_xludf.XLOOKUP(C1093,CodePath_Defaults!A:A,CodePath_Defaults!D:D,""),IFERROR(_xludf.XLOOKUP(B1093,CodePath_Defaults!B:B,CodePath_Defaults!D:D,""),""))</f>
        <v/>
      </c>
      <c r="T1093" t="s">
        <v>801</v>
      </c>
    </row>
    <row r="1094" spans="12:20" x14ac:dyDescent="0.35">
      <c r="L1094" t="str">
        <f ca="1">IFERROR(_xludf.XLOOKUP(C1094,CodePath_Defaults!A:A,CodePath_Defaults!D:D,""),IFERROR(_xludf.XLOOKUP(B1094,CodePath_Defaults!B:B,CodePath_Defaults!D:D,""),""))</f>
        <v/>
      </c>
      <c r="T1094" t="s">
        <v>801</v>
      </c>
    </row>
    <row r="1095" spans="12:20" x14ac:dyDescent="0.35">
      <c r="L1095" t="str">
        <f ca="1">IFERROR(_xludf.XLOOKUP(C1095,CodePath_Defaults!A:A,CodePath_Defaults!D:D,""),IFERROR(_xludf.XLOOKUP(B1095,CodePath_Defaults!B:B,CodePath_Defaults!D:D,""),""))</f>
        <v/>
      </c>
      <c r="T1095" t="s">
        <v>801</v>
      </c>
    </row>
    <row r="1096" spans="12:20" x14ac:dyDescent="0.35">
      <c r="L1096" t="str">
        <f ca="1">IFERROR(_xludf.XLOOKUP(C1096,CodePath_Defaults!A:A,CodePath_Defaults!D:D,""),IFERROR(_xludf.XLOOKUP(B1096,CodePath_Defaults!B:B,CodePath_Defaults!D:D,""),""))</f>
        <v/>
      </c>
      <c r="T1096" t="s">
        <v>801</v>
      </c>
    </row>
    <row r="1097" spans="12:20" x14ac:dyDescent="0.35">
      <c r="L1097" t="str">
        <f ca="1">IFERROR(_xludf.XLOOKUP(C1097,CodePath_Defaults!A:A,CodePath_Defaults!D:D,""),IFERROR(_xludf.XLOOKUP(B1097,CodePath_Defaults!B:B,CodePath_Defaults!D:D,""),""))</f>
        <v/>
      </c>
      <c r="T1097" t="s">
        <v>801</v>
      </c>
    </row>
    <row r="1098" spans="12:20" x14ac:dyDescent="0.35">
      <c r="L1098" t="str">
        <f ca="1">IFERROR(_xludf.XLOOKUP(C1098,CodePath_Defaults!A:A,CodePath_Defaults!D:D,""),IFERROR(_xludf.XLOOKUP(B1098,CodePath_Defaults!B:B,CodePath_Defaults!D:D,""),""))</f>
        <v/>
      </c>
      <c r="T1098" t="s">
        <v>801</v>
      </c>
    </row>
    <row r="1099" spans="12:20" x14ac:dyDescent="0.35">
      <c r="L1099" t="str">
        <f ca="1">IFERROR(_xludf.XLOOKUP(C1099,CodePath_Defaults!A:A,CodePath_Defaults!D:D,""),IFERROR(_xludf.XLOOKUP(B1099,CodePath_Defaults!B:B,CodePath_Defaults!D:D,""),""))</f>
        <v/>
      </c>
      <c r="T1099" t="s">
        <v>801</v>
      </c>
    </row>
    <row r="1100" spans="12:20" x14ac:dyDescent="0.35">
      <c r="L1100" t="str">
        <f ca="1">IFERROR(_xludf.XLOOKUP(C1100,CodePath_Defaults!A:A,CodePath_Defaults!D:D,""),IFERROR(_xludf.XLOOKUP(B1100,CodePath_Defaults!B:B,CodePath_Defaults!D:D,""),""))</f>
        <v/>
      </c>
      <c r="T1100" t="s">
        <v>801</v>
      </c>
    </row>
    <row r="1101" spans="12:20" x14ac:dyDescent="0.35">
      <c r="L1101" t="str">
        <f ca="1">IFERROR(_xludf.XLOOKUP(C1101,CodePath_Defaults!A:A,CodePath_Defaults!D:D,""),IFERROR(_xludf.XLOOKUP(B1101,CodePath_Defaults!B:B,CodePath_Defaults!D:D,""),""))</f>
        <v/>
      </c>
      <c r="T1101" t="s">
        <v>801</v>
      </c>
    </row>
    <row r="1102" spans="12:20" x14ac:dyDescent="0.35">
      <c r="L1102" t="str">
        <f ca="1">IFERROR(_xludf.XLOOKUP(C1102,CodePath_Defaults!A:A,CodePath_Defaults!D:D,""),IFERROR(_xludf.XLOOKUP(B1102,CodePath_Defaults!B:B,CodePath_Defaults!D:D,""),""))</f>
        <v/>
      </c>
      <c r="T1102" t="s">
        <v>801</v>
      </c>
    </row>
    <row r="1103" spans="12:20" x14ac:dyDescent="0.35">
      <c r="L1103" t="str">
        <f ca="1">IFERROR(_xludf.XLOOKUP(C1103,CodePath_Defaults!A:A,CodePath_Defaults!D:D,""),IFERROR(_xludf.XLOOKUP(B1103,CodePath_Defaults!B:B,CodePath_Defaults!D:D,""),""))</f>
        <v/>
      </c>
      <c r="T1103" t="s">
        <v>801</v>
      </c>
    </row>
    <row r="1104" spans="12:20" x14ac:dyDescent="0.35">
      <c r="L1104" t="str">
        <f ca="1">IFERROR(_xludf.XLOOKUP(C1104,CodePath_Defaults!A:A,CodePath_Defaults!D:D,""),IFERROR(_xludf.XLOOKUP(B1104,CodePath_Defaults!B:B,CodePath_Defaults!D:D,""),""))</f>
        <v/>
      </c>
      <c r="T1104" t="s">
        <v>801</v>
      </c>
    </row>
    <row r="1105" spans="12:20" x14ac:dyDescent="0.35">
      <c r="L1105" t="str">
        <f ca="1">IFERROR(_xludf.XLOOKUP(C1105,CodePath_Defaults!A:A,CodePath_Defaults!D:D,""),IFERROR(_xludf.XLOOKUP(B1105,CodePath_Defaults!B:B,CodePath_Defaults!D:D,""),""))</f>
        <v/>
      </c>
      <c r="T1105" t="s">
        <v>801</v>
      </c>
    </row>
    <row r="1106" spans="12:20" x14ac:dyDescent="0.35">
      <c r="L1106" t="str">
        <f ca="1">IFERROR(_xludf.XLOOKUP(C1106,CodePath_Defaults!A:A,CodePath_Defaults!D:D,""),IFERROR(_xludf.XLOOKUP(B1106,CodePath_Defaults!B:B,CodePath_Defaults!D:D,""),""))</f>
        <v/>
      </c>
      <c r="T1106" t="s">
        <v>801</v>
      </c>
    </row>
    <row r="1107" spans="12:20" x14ac:dyDescent="0.35">
      <c r="L1107" t="str">
        <f ca="1">IFERROR(_xludf.XLOOKUP(C1107,CodePath_Defaults!A:A,CodePath_Defaults!D:D,""),IFERROR(_xludf.XLOOKUP(B1107,CodePath_Defaults!B:B,CodePath_Defaults!D:D,""),""))</f>
        <v/>
      </c>
      <c r="T1107" t="s">
        <v>801</v>
      </c>
    </row>
    <row r="1108" spans="12:20" x14ac:dyDescent="0.35">
      <c r="L1108" t="str">
        <f ca="1">IFERROR(_xludf.XLOOKUP(C1108,CodePath_Defaults!A:A,CodePath_Defaults!D:D,""),IFERROR(_xludf.XLOOKUP(B1108,CodePath_Defaults!B:B,CodePath_Defaults!D:D,""),""))</f>
        <v/>
      </c>
      <c r="T1108" t="s">
        <v>801</v>
      </c>
    </row>
    <row r="1109" spans="12:20" x14ac:dyDescent="0.35">
      <c r="L1109" t="str">
        <f ca="1">IFERROR(_xludf.XLOOKUP(C1109,CodePath_Defaults!A:A,CodePath_Defaults!D:D,""),IFERROR(_xludf.XLOOKUP(B1109,CodePath_Defaults!B:B,CodePath_Defaults!D:D,""),""))</f>
        <v/>
      </c>
      <c r="T1109" t="s">
        <v>801</v>
      </c>
    </row>
    <row r="1110" spans="12:20" x14ac:dyDescent="0.35">
      <c r="L1110" t="str">
        <f ca="1">IFERROR(_xludf.XLOOKUP(C1110,CodePath_Defaults!A:A,CodePath_Defaults!D:D,""),IFERROR(_xludf.XLOOKUP(B1110,CodePath_Defaults!B:B,CodePath_Defaults!D:D,""),""))</f>
        <v/>
      </c>
      <c r="T1110" t="s">
        <v>801</v>
      </c>
    </row>
    <row r="1111" spans="12:20" x14ac:dyDescent="0.35">
      <c r="L1111" t="str">
        <f ca="1">IFERROR(_xludf.XLOOKUP(C1111,CodePath_Defaults!A:A,CodePath_Defaults!D:D,""),IFERROR(_xludf.XLOOKUP(B1111,CodePath_Defaults!B:B,CodePath_Defaults!D:D,""),""))</f>
        <v/>
      </c>
      <c r="T1111" t="s">
        <v>801</v>
      </c>
    </row>
    <row r="1112" spans="12:20" x14ac:dyDescent="0.35">
      <c r="L1112" t="str">
        <f ca="1">IFERROR(_xludf.XLOOKUP(C1112,CodePath_Defaults!A:A,CodePath_Defaults!D:D,""),IFERROR(_xludf.XLOOKUP(B1112,CodePath_Defaults!B:B,CodePath_Defaults!D:D,""),""))</f>
        <v/>
      </c>
      <c r="T1112" t="s">
        <v>801</v>
      </c>
    </row>
    <row r="1113" spans="12:20" x14ac:dyDescent="0.35">
      <c r="L1113" t="str">
        <f ca="1">IFERROR(_xludf.XLOOKUP(C1113,CodePath_Defaults!A:A,CodePath_Defaults!D:D,""),IFERROR(_xludf.XLOOKUP(B1113,CodePath_Defaults!B:B,CodePath_Defaults!D:D,""),""))</f>
        <v/>
      </c>
      <c r="T1113" t="s">
        <v>801</v>
      </c>
    </row>
    <row r="1114" spans="12:20" x14ac:dyDescent="0.35">
      <c r="L1114" t="str">
        <f ca="1">IFERROR(_xludf.XLOOKUP(C1114,CodePath_Defaults!A:A,CodePath_Defaults!D:D,""),IFERROR(_xludf.XLOOKUP(B1114,CodePath_Defaults!B:B,CodePath_Defaults!D:D,""),""))</f>
        <v/>
      </c>
      <c r="T1114" t="s">
        <v>801</v>
      </c>
    </row>
    <row r="1115" spans="12:20" x14ac:dyDescent="0.35">
      <c r="L1115" t="str">
        <f ca="1">IFERROR(_xludf.XLOOKUP(C1115,CodePath_Defaults!A:A,CodePath_Defaults!D:D,""),IFERROR(_xludf.XLOOKUP(B1115,CodePath_Defaults!B:B,CodePath_Defaults!D:D,""),""))</f>
        <v/>
      </c>
      <c r="T1115" t="s">
        <v>801</v>
      </c>
    </row>
    <row r="1116" spans="12:20" x14ac:dyDescent="0.35">
      <c r="L1116" t="str">
        <f ca="1">IFERROR(_xludf.XLOOKUP(C1116,CodePath_Defaults!A:A,CodePath_Defaults!D:D,""),IFERROR(_xludf.XLOOKUP(B1116,CodePath_Defaults!B:B,CodePath_Defaults!D:D,""),""))</f>
        <v/>
      </c>
      <c r="T1116" t="s">
        <v>801</v>
      </c>
    </row>
    <row r="1117" spans="12:20" x14ac:dyDescent="0.35">
      <c r="L1117" t="str">
        <f ca="1">IFERROR(_xludf.XLOOKUP(C1117,CodePath_Defaults!A:A,CodePath_Defaults!D:D,""),IFERROR(_xludf.XLOOKUP(B1117,CodePath_Defaults!B:B,CodePath_Defaults!D:D,""),""))</f>
        <v/>
      </c>
      <c r="T1117" t="s">
        <v>801</v>
      </c>
    </row>
    <row r="1118" spans="12:20" x14ac:dyDescent="0.35">
      <c r="L1118" t="str">
        <f ca="1">IFERROR(_xludf.XLOOKUP(C1118,CodePath_Defaults!A:A,CodePath_Defaults!D:D,""),IFERROR(_xludf.XLOOKUP(B1118,CodePath_Defaults!B:B,CodePath_Defaults!D:D,""),""))</f>
        <v/>
      </c>
      <c r="T1118" t="s">
        <v>801</v>
      </c>
    </row>
    <row r="1119" spans="12:20" x14ac:dyDescent="0.35">
      <c r="L1119" t="str">
        <f ca="1">IFERROR(_xludf.XLOOKUP(C1119,CodePath_Defaults!A:A,CodePath_Defaults!D:D,""),IFERROR(_xludf.XLOOKUP(B1119,CodePath_Defaults!B:B,CodePath_Defaults!D:D,""),""))</f>
        <v/>
      </c>
      <c r="T1119" t="s">
        <v>801</v>
      </c>
    </row>
    <row r="1120" spans="12:20" x14ac:dyDescent="0.35">
      <c r="L1120" t="str">
        <f ca="1">IFERROR(_xludf.XLOOKUP(C1120,CodePath_Defaults!A:A,CodePath_Defaults!D:D,""),IFERROR(_xludf.XLOOKUP(B1120,CodePath_Defaults!B:B,CodePath_Defaults!D:D,""),""))</f>
        <v/>
      </c>
      <c r="T1120" t="s">
        <v>801</v>
      </c>
    </row>
    <row r="1121" spans="12:20" x14ac:dyDescent="0.35">
      <c r="L1121" t="str">
        <f ca="1">IFERROR(_xludf.XLOOKUP(C1121,CodePath_Defaults!A:A,CodePath_Defaults!D:D,""),IFERROR(_xludf.XLOOKUP(B1121,CodePath_Defaults!B:B,CodePath_Defaults!D:D,""),""))</f>
        <v/>
      </c>
      <c r="T1121" t="s">
        <v>801</v>
      </c>
    </row>
    <row r="1122" spans="12:20" x14ac:dyDescent="0.35">
      <c r="L1122" t="str">
        <f ca="1">IFERROR(_xludf.XLOOKUP(C1122,CodePath_Defaults!A:A,CodePath_Defaults!D:D,""),IFERROR(_xludf.XLOOKUP(B1122,CodePath_Defaults!B:B,CodePath_Defaults!D:D,""),""))</f>
        <v/>
      </c>
      <c r="T1122" t="s">
        <v>801</v>
      </c>
    </row>
    <row r="1123" spans="12:20" x14ac:dyDescent="0.35">
      <c r="L1123" t="str">
        <f ca="1">IFERROR(_xludf.XLOOKUP(C1123,CodePath_Defaults!A:A,CodePath_Defaults!D:D,""),IFERROR(_xludf.XLOOKUP(B1123,CodePath_Defaults!B:B,CodePath_Defaults!D:D,""),""))</f>
        <v/>
      </c>
      <c r="T1123" t="s">
        <v>801</v>
      </c>
    </row>
    <row r="1124" spans="12:20" x14ac:dyDescent="0.35">
      <c r="L1124" t="str">
        <f ca="1">IFERROR(_xludf.XLOOKUP(C1124,CodePath_Defaults!A:A,CodePath_Defaults!D:D,""),IFERROR(_xludf.XLOOKUP(B1124,CodePath_Defaults!B:B,CodePath_Defaults!D:D,""),""))</f>
        <v/>
      </c>
      <c r="T1124" t="s">
        <v>801</v>
      </c>
    </row>
    <row r="1125" spans="12:20" x14ac:dyDescent="0.35">
      <c r="L1125" t="str">
        <f ca="1">IFERROR(_xludf.XLOOKUP(C1125,CodePath_Defaults!A:A,CodePath_Defaults!D:D,""),IFERROR(_xludf.XLOOKUP(B1125,CodePath_Defaults!B:B,CodePath_Defaults!D:D,""),""))</f>
        <v/>
      </c>
      <c r="T1125" t="s">
        <v>801</v>
      </c>
    </row>
    <row r="1126" spans="12:20" x14ac:dyDescent="0.35">
      <c r="L1126" t="str">
        <f ca="1">IFERROR(_xludf.XLOOKUP(C1126,CodePath_Defaults!A:A,CodePath_Defaults!D:D,""),IFERROR(_xludf.XLOOKUP(B1126,CodePath_Defaults!B:B,CodePath_Defaults!D:D,""),""))</f>
        <v/>
      </c>
      <c r="T1126" t="s">
        <v>801</v>
      </c>
    </row>
    <row r="1127" spans="12:20" x14ac:dyDescent="0.35">
      <c r="L1127" t="str">
        <f ca="1">IFERROR(_xludf.XLOOKUP(C1127,CodePath_Defaults!A:A,CodePath_Defaults!D:D,""),IFERROR(_xludf.XLOOKUP(B1127,CodePath_Defaults!B:B,CodePath_Defaults!D:D,""),""))</f>
        <v/>
      </c>
      <c r="T1127" t="s">
        <v>801</v>
      </c>
    </row>
    <row r="1128" spans="12:20" x14ac:dyDescent="0.35">
      <c r="L1128" t="str">
        <f ca="1">IFERROR(_xludf.XLOOKUP(C1128,CodePath_Defaults!A:A,CodePath_Defaults!D:D,""),IFERROR(_xludf.XLOOKUP(B1128,CodePath_Defaults!B:B,CodePath_Defaults!D:D,""),""))</f>
        <v/>
      </c>
      <c r="T1128" t="s">
        <v>801</v>
      </c>
    </row>
    <row r="1129" spans="12:20" x14ac:dyDescent="0.35">
      <c r="L1129" t="str">
        <f ca="1">IFERROR(_xludf.XLOOKUP(C1129,CodePath_Defaults!A:A,CodePath_Defaults!D:D,""),IFERROR(_xludf.XLOOKUP(B1129,CodePath_Defaults!B:B,CodePath_Defaults!D:D,""),""))</f>
        <v/>
      </c>
      <c r="T1129" t="s">
        <v>801</v>
      </c>
    </row>
    <row r="1130" spans="12:20" x14ac:dyDescent="0.35">
      <c r="L1130" t="str">
        <f ca="1">IFERROR(_xludf.XLOOKUP(C1130,CodePath_Defaults!A:A,CodePath_Defaults!D:D,""),IFERROR(_xludf.XLOOKUP(B1130,CodePath_Defaults!B:B,CodePath_Defaults!D:D,""),""))</f>
        <v/>
      </c>
      <c r="T1130" t="s">
        <v>801</v>
      </c>
    </row>
    <row r="1131" spans="12:20" x14ac:dyDescent="0.35">
      <c r="L1131" t="str">
        <f ca="1">IFERROR(_xludf.XLOOKUP(C1131,CodePath_Defaults!A:A,CodePath_Defaults!D:D,""),IFERROR(_xludf.XLOOKUP(B1131,CodePath_Defaults!B:B,CodePath_Defaults!D:D,""),""))</f>
        <v/>
      </c>
      <c r="T1131" t="s">
        <v>801</v>
      </c>
    </row>
    <row r="1132" spans="12:20" x14ac:dyDescent="0.35">
      <c r="L1132" t="str">
        <f ca="1">IFERROR(_xludf.XLOOKUP(C1132,CodePath_Defaults!A:A,CodePath_Defaults!D:D,""),IFERROR(_xludf.XLOOKUP(B1132,CodePath_Defaults!B:B,CodePath_Defaults!D:D,""),""))</f>
        <v/>
      </c>
      <c r="T1132" t="s">
        <v>801</v>
      </c>
    </row>
    <row r="1133" spans="12:20" x14ac:dyDescent="0.35">
      <c r="L1133" t="str">
        <f ca="1">IFERROR(_xludf.XLOOKUP(C1133,CodePath_Defaults!A:A,CodePath_Defaults!D:D,""),IFERROR(_xludf.XLOOKUP(B1133,CodePath_Defaults!B:B,CodePath_Defaults!D:D,""),""))</f>
        <v/>
      </c>
      <c r="T1133" t="s">
        <v>801</v>
      </c>
    </row>
    <row r="1134" spans="12:20" x14ac:dyDescent="0.35">
      <c r="L1134" t="str">
        <f ca="1">IFERROR(_xludf.XLOOKUP(C1134,CodePath_Defaults!A:A,CodePath_Defaults!D:D,""),IFERROR(_xludf.XLOOKUP(B1134,CodePath_Defaults!B:B,CodePath_Defaults!D:D,""),""))</f>
        <v/>
      </c>
      <c r="T1134" t="s">
        <v>801</v>
      </c>
    </row>
    <row r="1135" spans="12:20" x14ac:dyDescent="0.35">
      <c r="L1135" t="str">
        <f ca="1">IFERROR(_xludf.XLOOKUP(C1135,CodePath_Defaults!A:A,CodePath_Defaults!D:D,""),IFERROR(_xludf.XLOOKUP(B1135,CodePath_Defaults!B:B,CodePath_Defaults!D:D,""),""))</f>
        <v/>
      </c>
      <c r="T1135" t="s">
        <v>801</v>
      </c>
    </row>
    <row r="1136" spans="12:20" x14ac:dyDescent="0.35">
      <c r="L1136" t="str">
        <f ca="1">IFERROR(_xludf.XLOOKUP(C1136,CodePath_Defaults!A:A,CodePath_Defaults!D:D,""),IFERROR(_xludf.XLOOKUP(B1136,CodePath_Defaults!B:B,CodePath_Defaults!D:D,""),""))</f>
        <v/>
      </c>
      <c r="T1136" t="s">
        <v>801</v>
      </c>
    </row>
    <row r="1137" spans="12:20" x14ac:dyDescent="0.35">
      <c r="L1137" t="str">
        <f ca="1">IFERROR(_xludf.XLOOKUP(C1137,CodePath_Defaults!A:A,CodePath_Defaults!D:D,""),IFERROR(_xludf.XLOOKUP(B1137,CodePath_Defaults!B:B,CodePath_Defaults!D:D,""),""))</f>
        <v/>
      </c>
      <c r="T1137" t="s">
        <v>801</v>
      </c>
    </row>
    <row r="1138" spans="12:20" x14ac:dyDescent="0.35">
      <c r="L1138" t="str">
        <f ca="1">IFERROR(_xludf.XLOOKUP(C1138,CodePath_Defaults!A:A,CodePath_Defaults!D:D,""),IFERROR(_xludf.XLOOKUP(B1138,CodePath_Defaults!B:B,CodePath_Defaults!D:D,""),""))</f>
        <v/>
      </c>
      <c r="T1138" t="s">
        <v>801</v>
      </c>
    </row>
    <row r="1139" spans="12:20" x14ac:dyDescent="0.35">
      <c r="L1139" t="str">
        <f ca="1">IFERROR(_xludf.XLOOKUP(C1139,CodePath_Defaults!A:A,CodePath_Defaults!D:D,""),IFERROR(_xludf.XLOOKUP(B1139,CodePath_Defaults!B:B,CodePath_Defaults!D:D,""),""))</f>
        <v/>
      </c>
      <c r="T1139" t="s">
        <v>801</v>
      </c>
    </row>
    <row r="1140" spans="12:20" x14ac:dyDescent="0.35">
      <c r="L1140" t="str">
        <f ca="1">IFERROR(_xludf.XLOOKUP(C1140,CodePath_Defaults!A:A,CodePath_Defaults!D:D,""),IFERROR(_xludf.XLOOKUP(B1140,CodePath_Defaults!B:B,CodePath_Defaults!D:D,""),""))</f>
        <v/>
      </c>
      <c r="T1140" t="s">
        <v>801</v>
      </c>
    </row>
    <row r="1141" spans="12:20" x14ac:dyDescent="0.35">
      <c r="L1141" t="str">
        <f ca="1">IFERROR(_xludf.XLOOKUP(C1141,CodePath_Defaults!A:A,CodePath_Defaults!D:D,""),IFERROR(_xludf.XLOOKUP(B1141,CodePath_Defaults!B:B,CodePath_Defaults!D:D,""),""))</f>
        <v/>
      </c>
      <c r="T1141" t="s">
        <v>801</v>
      </c>
    </row>
    <row r="1142" spans="12:20" x14ac:dyDescent="0.35">
      <c r="L1142" t="str">
        <f ca="1">IFERROR(_xludf.XLOOKUP(C1142,CodePath_Defaults!A:A,CodePath_Defaults!D:D,""),IFERROR(_xludf.XLOOKUP(B1142,CodePath_Defaults!B:B,CodePath_Defaults!D:D,""),""))</f>
        <v/>
      </c>
      <c r="T1142" t="s">
        <v>801</v>
      </c>
    </row>
    <row r="1143" spans="12:20" x14ac:dyDescent="0.35">
      <c r="L1143" t="str">
        <f ca="1">IFERROR(_xludf.XLOOKUP(C1143,CodePath_Defaults!A:A,CodePath_Defaults!D:D,""),IFERROR(_xludf.XLOOKUP(B1143,CodePath_Defaults!B:B,CodePath_Defaults!D:D,""),""))</f>
        <v/>
      </c>
      <c r="T1143" t="s">
        <v>801</v>
      </c>
    </row>
    <row r="1144" spans="12:20" x14ac:dyDescent="0.35">
      <c r="L1144" t="str">
        <f ca="1">IFERROR(_xludf.XLOOKUP(C1144,CodePath_Defaults!A:A,CodePath_Defaults!D:D,""),IFERROR(_xludf.XLOOKUP(B1144,CodePath_Defaults!B:B,CodePath_Defaults!D:D,""),""))</f>
        <v/>
      </c>
      <c r="T1144" t="s">
        <v>801</v>
      </c>
    </row>
    <row r="1145" spans="12:20" x14ac:dyDescent="0.35">
      <c r="L1145" t="str">
        <f ca="1">IFERROR(_xludf.XLOOKUP(C1145,CodePath_Defaults!A:A,CodePath_Defaults!D:D,""),IFERROR(_xludf.XLOOKUP(B1145,CodePath_Defaults!B:B,CodePath_Defaults!D:D,""),""))</f>
        <v/>
      </c>
      <c r="T1145" t="s">
        <v>801</v>
      </c>
    </row>
    <row r="1146" spans="12:20" x14ac:dyDescent="0.35">
      <c r="L1146" t="str">
        <f ca="1">IFERROR(_xludf.XLOOKUP(C1146,CodePath_Defaults!A:A,CodePath_Defaults!D:D,""),IFERROR(_xludf.XLOOKUP(B1146,CodePath_Defaults!B:B,CodePath_Defaults!D:D,""),""))</f>
        <v/>
      </c>
      <c r="T1146" t="s">
        <v>801</v>
      </c>
    </row>
    <row r="1147" spans="12:20" x14ac:dyDescent="0.35">
      <c r="L1147" t="str">
        <f ca="1">IFERROR(_xludf.XLOOKUP(C1147,CodePath_Defaults!A:A,CodePath_Defaults!D:D,""),IFERROR(_xludf.XLOOKUP(B1147,CodePath_Defaults!B:B,CodePath_Defaults!D:D,""),""))</f>
        <v/>
      </c>
      <c r="T1147" t="s">
        <v>801</v>
      </c>
    </row>
    <row r="1148" spans="12:20" x14ac:dyDescent="0.35">
      <c r="L1148" t="str">
        <f ca="1">IFERROR(_xludf.XLOOKUP(C1148,CodePath_Defaults!A:A,CodePath_Defaults!D:D,""),IFERROR(_xludf.XLOOKUP(B1148,CodePath_Defaults!B:B,CodePath_Defaults!D:D,""),""))</f>
        <v/>
      </c>
      <c r="T1148" t="s">
        <v>801</v>
      </c>
    </row>
    <row r="1149" spans="12:20" x14ac:dyDescent="0.35">
      <c r="L1149" t="str">
        <f ca="1">IFERROR(_xludf.XLOOKUP(C1149,CodePath_Defaults!A:A,CodePath_Defaults!D:D,""),IFERROR(_xludf.XLOOKUP(B1149,CodePath_Defaults!B:B,CodePath_Defaults!D:D,""),""))</f>
        <v/>
      </c>
      <c r="T1149" t="s">
        <v>801</v>
      </c>
    </row>
    <row r="1150" spans="12:20" x14ac:dyDescent="0.35">
      <c r="L1150" t="str">
        <f ca="1">IFERROR(_xludf.XLOOKUP(C1150,CodePath_Defaults!A:A,CodePath_Defaults!D:D,""),IFERROR(_xludf.XLOOKUP(B1150,CodePath_Defaults!B:B,CodePath_Defaults!D:D,""),""))</f>
        <v/>
      </c>
      <c r="T1150" t="s">
        <v>801</v>
      </c>
    </row>
    <row r="1151" spans="12:20" x14ac:dyDescent="0.35">
      <c r="L1151" t="str">
        <f ca="1">IFERROR(_xludf.XLOOKUP(C1151,CodePath_Defaults!A:A,CodePath_Defaults!D:D,""),IFERROR(_xludf.XLOOKUP(B1151,CodePath_Defaults!B:B,CodePath_Defaults!D:D,""),""))</f>
        <v/>
      </c>
      <c r="T1151" t="s">
        <v>801</v>
      </c>
    </row>
    <row r="1152" spans="12:20" x14ac:dyDescent="0.35">
      <c r="L1152" t="str">
        <f ca="1">IFERROR(_xludf.XLOOKUP(C1152,CodePath_Defaults!A:A,CodePath_Defaults!D:D,""),IFERROR(_xludf.XLOOKUP(B1152,CodePath_Defaults!B:B,CodePath_Defaults!D:D,""),""))</f>
        <v/>
      </c>
      <c r="T1152" t="s">
        <v>801</v>
      </c>
    </row>
    <row r="1153" spans="12:20" x14ac:dyDescent="0.35">
      <c r="L1153" t="str">
        <f ca="1">IFERROR(_xludf.XLOOKUP(C1153,CodePath_Defaults!A:A,CodePath_Defaults!D:D,""),IFERROR(_xludf.XLOOKUP(B1153,CodePath_Defaults!B:B,CodePath_Defaults!D:D,""),""))</f>
        <v/>
      </c>
      <c r="T1153" t="s">
        <v>801</v>
      </c>
    </row>
    <row r="1154" spans="12:20" x14ac:dyDescent="0.35">
      <c r="L1154" t="str">
        <f ca="1">IFERROR(_xludf.XLOOKUP(C1154,CodePath_Defaults!A:A,CodePath_Defaults!D:D,""),IFERROR(_xludf.XLOOKUP(B1154,CodePath_Defaults!B:B,CodePath_Defaults!D:D,""),""))</f>
        <v/>
      </c>
      <c r="T1154" t="s">
        <v>801</v>
      </c>
    </row>
    <row r="1155" spans="12:20" x14ac:dyDescent="0.35">
      <c r="L1155" t="str">
        <f ca="1">IFERROR(_xludf.XLOOKUP(C1155,CodePath_Defaults!A:A,CodePath_Defaults!D:D,""),IFERROR(_xludf.XLOOKUP(B1155,CodePath_Defaults!B:B,CodePath_Defaults!D:D,""),""))</f>
        <v/>
      </c>
      <c r="T1155" t="s">
        <v>801</v>
      </c>
    </row>
    <row r="1156" spans="12:20" x14ac:dyDescent="0.35">
      <c r="L1156" t="str">
        <f ca="1">IFERROR(_xludf.XLOOKUP(C1156,CodePath_Defaults!A:A,CodePath_Defaults!D:D,""),IFERROR(_xludf.XLOOKUP(B1156,CodePath_Defaults!B:B,CodePath_Defaults!D:D,""),""))</f>
        <v/>
      </c>
      <c r="T1156" t="s">
        <v>801</v>
      </c>
    </row>
    <row r="1157" spans="12:20" x14ac:dyDescent="0.35">
      <c r="L1157" t="str">
        <f ca="1">IFERROR(_xludf.XLOOKUP(C1157,CodePath_Defaults!A:A,CodePath_Defaults!D:D,""),IFERROR(_xludf.XLOOKUP(B1157,CodePath_Defaults!B:B,CodePath_Defaults!D:D,""),""))</f>
        <v/>
      </c>
      <c r="T1157" t="s">
        <v>801</v>
      </c>
    </row>
    <row r="1158" spans="12:20" x14ac:dyDescent="0.35">
      <c r="L1158" t="str">
        <f ca="1">IFERROR(_xludf.XLOOKUP(C1158,CodePath_Defaults!A:A,CodePath_Defaults!D:D,""),IFERROR(_xludf.XLOOKUP(B1158,CodePath_Defaults!B:B,CodePath_Defaults!D:D,""),""))</f>
        <v/>
      </c>
      <c r="T1158" t="s">
        <v>801</v>
      </c>
    </row>
    <row r="1159" spans="12:20" x14ac:dyDescent="0.35">
      <c r="L1159" t="str">
        <f ca="1">IFERROR(_xludf.XLOOKUP(C1159,CodePath_Defaults!A:A,CodePath_Defaults!D:D,""),IFERROR(_xludf.XLOOKUP(B1159,CodePath_Defaults!B:B,CodePath_Defaults!D:D,""),""))</f>
        <v/>
      </c>
      <c r="T1159" t="s">
        <v>801</v>
      </c>
    </row>
    <row r="1160" spans="12:20" x14ac:dyDescent="0.35">
      <c r="L1160" t="str">
        <f ca="1">IFERROR(_xludf.XLOOKUP(C1160,CodePath_Defaults!A:A,CodePath_Defaults!D:D,""),IFERROR(_xludf.XLOOKUP(B1160,CodePath_Defaults!B:B,CodePath_Defaults!D:D,""),""))</f>
        <v/>
      </c>
      <c r="T1160" t="s">
        <v>801</v>
      </c>
    </row>
    <row r="1161" spans="12:20" x14ac:dyDescent="0.35">
      <c r="L1161" t="str">
        <f ca="1">IFERROR(_xludf.XLOOKUP(C1161,CodePath_Defaults!A:A,CodePath_Defaults!D:D,""),IFERROR(_xludf.XLOOKUP(B1161,CodePath_Defaults!B:B,CodePath_Defaults!D:D,""),""))</f>
        <v/>
      </c>
      <c r="T1161" t="s">
        <v>801</v>
      </c>
    </row>
    <row r="1162" spans="12:20" x14ac:dyDescent="0.35">
      <c r="L1162" t="str">
        <f ca="1">IFERROR(_xludf.XLOOKUP(C1162,CodePath_Defaults!A:A,CodePath_Defaults!D:D,""),IFERROR(_xludf.XLOOKUP(B1162,CodePath_Defaults!B:B,CodePath_Defaults!D:D,""),""))</f>
        <v/>
      </c>
      <c r="T1162" t="s">
        <v>801</v>
      </c>
    </row>
    <row r="1163" spans="12:20" x14ac:dyDescent="0.35">
      <c r="L1163" t="str">
        <f ca="1">IFERROR(_xludf.XLOOKUP(C1163,CodePath_Defaults!A:A,CodePath_Defaults!D:D,""),IFERROR(_xludf.XLOOKUP(B1163,CodePath_Defaults!B:B,CodePath_Defaults!D:D,""),""))</f>
        <v/>
      </c>
      <c r="T1163" t="s">
        <v>801</v>
      </c>
    </row>
    <row r="1164" spans="12:20" x14ac:dyDescent="0.35">
      <c r="L1164" t="str">
        <f ca="1">IFERROR(_xludf.XLOOKUP(C1164,CodePath_Defaults!A:A,CodePath_Defaults!D:D,""),IFERROR(_xludf.XLOOKUP(B1164,CodePath_Defaults!B:B,CodePath_Defaults!D:D,""),""))</f>
        <v/>
      </c>
      <c r="T1164" t="s">
        <v>801</v>
      </c>
    </row>
    <row r="1165" spans="12:20" x14ac:dyDescent="0.35">
      <c r="L1165" t="str">
        <f ca="1">IFERROR(_xludf.XLOOKUP(C1165,CodePath_Defaults!A:A,CodePath_Defaults!D:D,""),IFERROR(_xludf.XLOOKUP(B1165,CodePath_Defaults!B:B,CodePath_Defaults!D:D,""),""))</f>
        <v/>
      </c>
      <c r="T1165" t="s">
        <v>801</v>
      </c>
    </row>
    <row r="1166" spans="12:20" x14ac:dyDescent="0.35">
      <c r="L1166" t="str">
        <f ca="1">IFERROR(_xludf.XLOOKUP(C1166,CodePath_Defaults!A:A,CodePath_Defaults!D:D,""),IFERROR(_xludf.XLOOKUP(B1166,CodePath_Defaults!B:B,CodePath_Defaults!D:D,""),""))</f>
        <v/>
      </c>
      <c r="T1166" t="s">
        <v>801</v>
      </c>
    </row>
    <row r="1167" spans="12:20" x14ac:dyDescent="0.35">
      <c r="L1167" t="str">
        <f ca="1">IFERROR(_xludf.XLOOKUP(C1167,CodePath_Defaults!A:A,CodePath_Defaults!D:D,""),IFERROR(_xludf.XLOOKUP(B1167,CodePath_Defaults!B:B,CodePath_Defaults!D:D,""),""))</f>
        <v/>
      </c>
      <c r="T1167" t="s">
        <v>801</v>
      </c>
    </row>
    <row r="1168" spans="12:20" x14ac:dyDescent="0.35">
      <c r="L1168" t="str">
        <f ca="1">IFERROR(_xludf.XLOOKUP(C1168,CodePath_Defaults!A:A,CodePath_Defaults!D:D,""),IFERROR(_xludf.XLOOKUP(B1168,CodePath_Defaults!B:B,CodePath_Defaults!D:D,""),""))</f>
        <v/>
      </c>
      <c r="T1168" t="s">
        <v>801</v>
      </c>
    </row>
    <row r="1169" spans="12:20" x14ac:dyDescent="0.35">
      <c r="L1169" t="str">
        <f ca="1">IFERROR(_xludf.XLOOKUP(C1169,CodePath_Defaults!A:A,CodePath_Defaults!D:D,""),IFERROR(_xludf.XLOOKUP(B1169,CodePath_Defaults!B:B,CodePath_Defaults!D:D,""),""))</f>
        <v/>
      </c>
      <c r="T1169" t="s">
        <v>801</v>
      </c>
    </row>
    <row r="1170" spans="12:20" x14ac:dyDescent="0.35">
      <c r="L1170" t="str">
        <f ca="1">IFERROR(_xludf.XLOOKUP(C1170,CodePath_Defaults!A:A,CodePath_Defaults!D:D,""),IFERROR(_xludf.XLOOKUP(B1170,CodePath_Defaults!B:B,CodePath_Defaults!D:D,""),""))</f>
        <v/>
      </c>
      <c r="T1170" t="s">
        <v>801</v>
      </c>
    </row>
    <row r="1171" spans="12:20" x14ac:dyDescent="0.35">
      <c r="L1171" t="str">
        <f ca="1">IFERROR(_xludf.XLOOKUP(C1171,CodePath_Defaults!A:A,CodePath_Defaults!D:D,""),IFERROR(_xludf.XLOOKUP(B1171,CodePath_Defaults!B:B,CodePath_Defaults!D:D,""),""))</f>
        <v/>
      </c>
      <c r="T1171" t="s">
        <v>801</v>
      </c>
    </row>
    <row r="1172" spans="12:20" x14ac:dyDescent="0.35">
      <c r="L1172" t="str">
        <f ca="1">IFERROR(_xludf.XLOOKUP(C1172,CodePath_Defaults!A:A,CodePath_Defaults!D:D,""),IFERROR(_xludf.XLOOKUP(B1172,CodePath_Defaults!B:B,CodePath_Defaults!D:D,""),""))</f>
        <v/>
      </c>
      <c r="T1172" t="s">
        <v>801</v>
      </c>
    </row>
    <row r="1173" spans="12:20" x14ac:dyDescent="0.35">
      <c r="L1173" t="str">
        <f ca="1">IFERROR(_xludf.XLOOKUP(C1173,CodePath_Defaults!A:A,CodePath_Defaults!D:D,""),IFERROR(_xludf.XLOOKUP(B1173,CodePath_Defaults!B:B,CodePath_Defaults!D:D,""),""))</f>
        <v/>
      </c>
      <c r="T1173" t="s">
        <v>801</v>
      </c>
    </row>
    <row r="1174" spans="12:20" x14ac:dyDescent="0.35">
      <c r="L1174" t="str">
        <f ca="1">IFERROR(_xludf.XLOOKUP(C1174,CodePath_Defaults!A:A,CodePath_Defaults!D:D,""),IFERROR(_xludf.XLOOKUP(B1174,CodePath_Defaults!B:B,CodePath_Defaults!D:D,""),""))</f>
        <v/>
      </c>
      <c r="T1174" t="s">
        <v>801</v>
      </c>
    </row>
    <row r="1175" spans="12:20" x14ac:dyDescent="0.35">
      <c r="L1175" t="str">
        <f ca="1">IFERROR(_xludf.XLOOKUP(C1175,CodePath_Defaults!A:A,CodePath_Defaults!D:D,""),IFERROR(_xludf.XLOOKUP(B1175,CodePath_Defaults!B:B,CodePath_Defaults!D:D,""),""))</f>
        <v/>
      </c>
      <c r="T1175" t="s">
        <v>801</v>
      </c>
    </row>
    <row r="1176" spans="12:20" x14ac:dyDescent="0.35">
      <c r="L1176" t="str">
        <f ca="1">IFERROR(_xludf.XLOOKUP(C1176,CodePath_Defaults!A:A,CodePath_Defaults!D:D,""),IFERROR(_xludf.XLOOKUP(B1176,CodePath_Defaults!B:B,CodePath_Defaults!D:D,""),""))</f>
        <v/>
      </c>
      <c r="T1176" t="s">
        <v>801</v>
      </c>
    </row>
    <row r="1177" spans="12:20" x14ac:dyDescent="0.35">
      <c r="L1177" t="str">
        <f ca="1">IFERROR(_xludf.XLOOKUP(C1177,CodePath_Defaults!A:A,CodePath_Defaults!D:D,""),IFERROR(_xludf.XLOOKUP(B1177,CodePath_Defaults!B:B,CodePath_Defaults!D:D,""),""))</f>
        <v/>
      </c>
      <c r="T1177" t="s">
        <v>801</v>
      </c>
    </row>
    <row r="1178" spans="12:20" x14ac:dyDescent="0.35">
      <c r="L1178" t="str">
        <f ca="1">IFERROR(_xludf.XLOOKUP(C1178,CodePath_Defaults!A:A,CodePath_Defaults!D:D,""),IFERROR(_xludf.XLOOKUP(B1178,CodePath_Defaults!B:B,CodePath_Defaults!D:D,""),""))</f>
        <v/>
      </c>
      <c r="T1178" t="s">
        <v>801</v>
      </c>
    </row>
    <row r="1179" spans="12:20" x14ac:dyDescent="0.35">
      <c r="L1179" t="str">
        <f ca="1">IFERROR(_xludf.XLOOKUP(C1179,CodePath_Defaults!A:A,CodePath_Defaults!D:D,""),IFERROR(_xludf.XLOOKUP(B1179,CodePath_Defaults!B:B,CodePath_Defaults!D:D,""),""))</f>
        <v/>
      </c>
      <c r="T1179" t="s">
        <v>801</v>
      </c>
    </row>
    <row r="1180" spans="12:20" x14ac:dyDescent="0.35">
      <c r="L1180" t="str">
        <f ca="1">IFERROR(_xludf.XLOOKUP(C1180,CodePath_Defaults!A:A,CodePath_Defaults!D:D,""),IFERROR(_xludf.XLOOKUP(B1180,CodePath_Defaults!B:B,CodePath_Defaults!D:D,""),""))</f>
        <v/>
      </c>
      <c r="T1180" t="s">
        <v>801</v>
      </c>
    </row>
    <row r="1181" spans="12:20" x14ac:dyDescent="0.35">
      <c r="L1181" t="str">
        <f ca="1">IFERROR(_xludf.XLOOKUP(C1181,CodePath_Defaults!A:A,CodePath_Defaults!D:D,""),IFERROR(_xludf.XLOOKUP(B1181,CodePath_Defaults!B:B,CodePath_Defaults!D:D,""),""))</f>
        <v/>
      </c>
      <c r="T1181" t="s">
        <v>801</v>
      </c>
    </row>
    <row r="1182" spans="12:20" x14ac:dyDescent="0.35">
      <c r="L1182" t="str">
        <f ca="1">IFERROR(_xludf.XLOOKUP(C1182,CodePath_Defaults!A:A,CodePath_Defaults!D:D,""),IFERROR(_xludf.XLOOKUP(B1182,CodePath_Defaults!B:B,CodePath_Defaults!D:D,""),""))</f>
        <v/>
      </c>
      <c r="T1182" t="s">
        <v>801</v>
      </c>
    </row>
    <row r="1183" spans="12:20" x14ac:dyDescent="0.35">
      <c r="L1183" t="str">
        <f ca="1">IFERROR(_xludf.XLOOKUP(C1183,CodePath_Defaults!A:A,CodePath_Defaults!D:D,""),IFERROR(_xludf.XLOOKUP(B1183,CodePath_Defaults!B:B,CodePath_Defaults!D:D,""),""))</f>
        <v/>
      </c>
      <c r="T1183" t="s">
        <v>801</v>
      </c>
    </row>
    <row r="1184" spans="12:20" x14ac:dyDescent="0.35">
      <c r="L1184" t="str">
        <f ca="1">IFERROR(_xludf.XLOOKUP(C1184,CodePath_Defaults!A:A,CodePath_Defaults!D:D,""),IFERROR(_xludf.XLOOKUP(B1184,CodePath_Defaults!B:B,CodePath_Defaults!D:D,""),""))</f>
        <v/>
      </c>
      <c r="T1184" t="s">
        <v>801</v>
      </c>
    </row>
    <row r="1185" spans="12:20" x14ac:dyDescent="0.35">
      <c r="L1185" t="str">
        <f ca="1">IFERROR(_xludf.XLOOKUP(C1185,CodePath_Defaults!A:A,CodePath_Defaults!D:D,""),IFERROR(_xludf.XLOOKUP(B1185,CodePath_Defaults!B:B,CodePath_Defaults!D:D,""),""))</f>
        <v/>
      </c>
      <c r="T1185" t="s">
        <v>801</v>
      </c>
    </row>
    <row r="1186" spans="12:20" x14ac:dyDescent="0.35">
      <c r="L1186" t="str">
        <f ca="1">IFERROR(_xludf.XLOOKUP(C1186,CodePath_Defaults!A:A,CodePath_Defaults!D:D,""),IFERROR(_xludf.XLOOKUP(B1186,CodePath_Defaults!B:B,CodePath_Defaults!D:D,""),""))</f>
        <v/>
      </c>
      <c r="T1186" t="s">
        <v>801</v>
      </c>
    </row>
    <row r="1187" spans="12:20" x14ac:dyDescent="0.35">
      <c r="L1187" t="str">
        <f ca="1">IFERROR(_xludf.XLOOKUP(C1187,CodePath_Defaults!A:A,CodePath_Defaults!D:D,""),IFERROR(_xludf.XLOOKUP(B1187,CodePath_Defaults!B:B,CodePath_Defaults!D:D,""),""))</f>
        <v/>
      </c>
      <c r="T1187" t="s">
        <v>801</v>
      </c>
    </row>
    <row r="1188" spans="12:20" x14ac:dyDescent="0.35">
      <c r="L1188" t="str">
        <f ca="1">IFERROR(_xludf.XLOOKUP(C1188,CodePath_Defaults!A:A,CodePath_Defaults!D:D,""),IFERROR(_xludf.XLOOKUP(B1188,CodePath_Defaults!B:B,CodePath_Defaults!D:D,""),""))</f>
        <v/>
      </c>
      <c r="T1188" t="s">
        <v>801</v>
      </c>
    </row>
    <row r="1189" spans="12:20" x14ac:dyDescent="0.35">
      <c r="L1189" t="str">
        <f ca="1">IFERROR(_xludf.XLOOKUP(C1189,CodePath_Defaults!A:A,CodePath_Defaults!D:D,""),IFERROR(_xludf.XLOOKUP(B1189,CodePath_Defaults!B:B,CodePath_Defaults!D:D,""),""))</f>
        <v/>
      </c>
      <c r="T1189" t="s">
        <v>801</v>
      </c>
    </row>
    <row r="1190" spans="12:20" x14ac:dyDescent="0.35">
      <c r="L1190" t="str">
        <f ca="1">IFERROR(_xludf.XLOOKUP(C1190,CodePath_Defaults!A:A,CodePath_Defaults!D:D,""),IFERROR(_xludf.XLOOKUP(B1190,CodePath_Defaults!B:B,CodePath_Defaults!D:D,""),""))</f>
        <v/>
      </c>
      <c r="T1190" t="s">
        <v>801</v>
      </c>
    </row>
    <row r="1191" spans="12:20" x14ac:dyDescent="0.35">
      <c r="L1191" t="str">
        <f ca="1">IFERROR(_xludf.XLOOKUP(C1191,CodePath_Defaults!A:A,CodePath_Defaults!D:D,""),IFERROR(_xludf.XLOOKUP(B1191,CodePath_Defaults!B:B,CodePath_Defaults!D:D,""),""))</f>
        <v/>
      </c>
      <c r="T1191" t="s">
        <v>801</v>
      </c>
    </row>
    <row r="1192" spans="12:20" x14ac:dyDescent="0.35">
      <c r="L1192" t="str">
        <f ca="1">IFERROR(_xludf.XLOOKUP(C1192,CodePath_Defaults!A:A,CodePath_Defaults!D:D,""),IFERROR(_xludf.XLOOKUP(B1192,CodePath_Defaults!B:B,CodePath_Defaults!D:D,""),""))</f>
        <v/>
      </c>
      <c r="T1192" t="s">
        <v>801</v>
      </c>
    </row>
    <row r="1193" spans="12:20" x14ac:dyDescent="0.35">
      <c r="L1193" t="str">
        <f ca="1">IFERROR(_xludf.XLOOKUP(C1193,CodePath_Defaults!A:A,CodePath_Defaults!D:D,""),IFERROR(_xludf.XLOOKUP(B1193,CodePath_Defaults!B:B,CodePath_Defaults!D:D,""),""))</f>
        <v/>
      </c>
      <c r="T1193" t="s">
        <v>801</v>
      </c>
    </row>
    <row r="1194" spans="12:20" x14ac:dyDescent="0.35">
      <c r="L1194" t="str">
        <f ca="1">IFERROR(_xludf.XLOOKUP(C1194,CodePath_Defaults!A:A,CodePath_Defaults!D:D,""),IFERROR(_xludf.XLOOKUP(B1194,CodePath_Defaults!B:B,CodePath_Defaults!D:D,""),""))</f>
        <v/>
      </c>
      <c r="T1194" t="s">
        <v>801</v>
      </c>
    </row>
    <row r="1195" spans="12:20" x14ac:dyDescent="0.35">
      <c r="L1195" t="str">
        <f ca="1">IFERROR(_xludf.XLOOKUP(C1195,CodePath_Defaults!A:A,CodePath_Defaults!D:D,""),IFERROR(_xludf.XLOOKUP(B1195,CodePath_Defaults!B:B,CodePath_Defaults!D:D,""),""))</f>
        <v/>
      </c>
      <c r="T1195" t="s">
        <v>801</v>
      </c>
    </row>
    <row r="1196" spans="12:20" x14ac:dyDescent="0.35">
      <c r="L1196" t="str">
        <f ca="1">IFERROR(_xludf.XLOOKUP(C1196,CodePath_Defaults!A:A,CodePath_Defaults!D:D,""),IFERROR(_xludf.XLOOKUP(B1196,CodePath_Defaults!B:B,CodePath_Defaults!D:D,""),""))</f>
        <v/>
      </c>
      <c r="T1196" t="s">
        <v>801</v>
      </c>
    </row>
    <row r="1197" spans="12:20" x14ac:dyDescent="0.35">
      <c r="L1197" t="str">
        <f ca="1">IFERROR(_xludf.XLOOKUP(C1197,CodePath_Defaults!A:A,CodePath_Defaults!D:D,""),IFERROR(_xludf.XLOOKUP(B1197,CodePath_Defaults!B:B,CodePath_Defaults!D:D,""),""))</f>
        <v/>
      </c>
      <c r="T1197" t="s">
        <v>801</v>
      </c>
    </row>
    <row r="1198" spans="12:20" x14ac:dyDescent="0.35">
      <c r="L1198" t="str">
        <f ca="1">IFERROR(_xludf.XLOOKUP(C1198,CodePath_Defaults!A:A,CodePath_Defaults!D:D,""),IFERROR(_xludf.XLOOKUP(B1198,CodePath_Defaults!B:B,CodePath_Defaults!D:D,""),""))</f>
        <v/>
      </c>
      <c r="T1198" t="s">
        <v>801</v>
      </c>
    </row>
    <row r="1199" spans="12:20" x14ac:dyDescent="0.35">
      <c r="L1199" t="str">
        <f ca="1">IFERROR(_xludf.XLOOKUP(C1199,CodePath_Defaults!A:A,CodePath_Defaults!D:D,""),IFERROR(_xludf.XLOOKUP(B1199,CodePath_Defaults!B:B,CodePath_Defaults!D:D,""),""))</f>
        <v/>
      </c>
      <c r="T1199" t="s">
        <v>801</v>
      </c>
    </row>
    <row r="1200" spans="12:20" x14ac:dyDescent="0.35">
      <c r="L1200" t="str">
        <f ca="1">IFERROR(_xludf.XLOOKUP(C1200,CodePath_Defaults!A:A,CodePath_Defaults!D:D,""),IFERROR(_xludf.XLOOKUP(B1200,CodePath_Defaults!B:B,CodePath_Defaults!D:D,""),""))</f>
        <v/>
      </c>
      <c r="T1200" t="s">
        <v>801</v>
      </c>
    </row>
    <row r="1201" spans="12:20" x14ac:dyDescent="0.35">
      <c r="L1201" t="str">
        <f ca="1">IFERROR(_xludf.XLOOKUP(C1201,CodePath_Defaults!A:A,CodePath_Defaults!D:D,""),IFERROR(_xludf.XLOOKUP(B1201,CodePath_Defaults!B:B,CodePath_Defaults!D:D,""),""))</f>
        <v/>
      </c>
      <c r="T1201" t="s">
        <v>801</v>
      </c>
    </row>
    <row r="1202" spans="12:20" x14ac:dyDescent="0.35">
      <c r="L1202" t="str">
        <f ca="1">IFERROR(_xludf.XLOOKUP(C1202,CodePath_Defaults!A:A,CodePath_Defaults!D:D,""),IFERROR(_xludf.XLOOKUP(B1202,CodePath_Defaults!B:B,CodePath_Defaults!D:D,""),""))</f>
        <v/>
      </c>
      <c r="T1202" t="s">
        <v>801</v>
      </c>
    </row>
    <row r="1203" spans="12:20" x14ac:dyDescent="0.35">
      <c r="L1203" t="str">
        <f ca="1">IFERROR(_xludf.XLOOKUP(C1203,CodePath_Defaults!A:A,CodePath_Defaults!D:D,""),IFERROR(_xludf.XLOOKUP(B1203,CodePath_Defaults!B:B,CodePath_Defaults!D:D,""),""))</f>
        <v/>
      </c>
      <c r="T1203" t="s">
        <v>801</v>
      </c>
    </row>
    <row r="1204" spans="12:20" x14ac:dyDescent="0.35">
      <c r="L1204" t="str">
        <f ca="1">IFERROR(_xludf.XLOOKUP(C1204,CodePath_Defaults!A:A,CodePath_Defaults!D:D,""),IFERROR(_xludf.XLOOKUP(B1204,CodePath_Defaults!B:B,CodePath_Defaults!D:D,""),""))</f>
        <v/>
      </c>
      <c r="T1204" t="s">
        <v>801</v>
      </c>
    </row>
    <row r="1205" spans="12:20" x14ac:dyDescent="0.35">
      <c r="L1205" t="str">
        <f ca="1">IFERROR(_xludf.XLOOKUP(C1205,CodePath_Defaults!A:A,CodePath_Defaults!D:D,""),IFERROR(_xludf.XLOOKUP(B1205,CodePath_Defaults!B:B,CodePath_Defaults!D:D,""),""))</f>
        <v/>
      </c>
      <c r="T1205" t="s">
        <v>801</v>
      </c>
    </row>
    <row r="1206" spans="12:20" x14ac:dyDescent="0.35">
      <c r="L1206" t="str">
        <f ca="1">IFERROR(_xludf.XLOOKUP(C1206,CodePath_Defaults!A:A,CodePath_Defaults!D:D,""),IFERROR(_xludf.XLOOKUP(B1206,CodePath_Defaults!B:B,CodePath_Defaults!D:D,""),""))</f>
        <v/>
      </c>
      <c r="T1206" t="s">
        <v>801</v>
      </c>
    </row>
    <row r="1207" spans="12:20" x14ac:dyDescent="0.35">
      <c r="L1207" t="str">
        <f ca="1">IFERROR(_xludf.XLOOKUP(C1207,CodePath_Defaults!A:A,CodePath_Defaults!D:D,""),IFERROR(_xludf.XLOOKUP(B1207,CodePath_Defaults!B:B,CodePath_Defaults!D:D,""),""))</f>
        <v/>
      </c>
      <c r="T1207" t="s">
        <v>801</v>
      </c>
    </row>
    <row r="1208" spans="12:20" x14ac:dyDescent="0.35">
      <c r="L1208" t="str">
        <f ca="1">IFERROR(_xludf.XLOOKUP(C1208,CodePath_Defaults!A:A,CodePath_Defaults!D:D,""),IFERROR(_xludf.XLOOKUP(B1208,CodePath_Defaults!B:B,CodePath_Defaults!D:D,""),""))</f>
        <v/>
      </c>
      <c r="T1208" t="s">
        <v>801</v>
      </c>
    </row>
    <row r="1209" spans="12:20" x14ac:dyDescent="0.35">
      <c r="L1209" t="str">
        <f ca="1">IFERROR(_xludf.XLOOKUP(C1209,CodePath_Defaults!A:A,CodePath_Defaults!D:D,""),IFERROR(_xludf.XLOOKUP(B1209,CodePath_Defaults!B:B,CodePath_Defaults!D:D,""),""))</f>
        <v/>
      </c>
      <c r="T1209" t="s">
        <v>801</v>
      </c>
    </row>
    <row r="1210" spans="12:20" x14ac:dyDescent="0.35">
      <c r="L1210" t="str">
        <f ca="1">IFERROR(_xludf.XLOOKUP(C1210,CodePath_Defaults!A:A,CodePath_Defaults!D:D,""),IFERROR(_xludf.XLOOKUP(B1210,CodePath_Defaults!B:B,CodePath_Defaults!D:D,""),""))</f>
        <v/>
      </c>
      <c r="T1210" t="s">
        <v>801</v>
      </c>
    </row>
    <row r="1211" spans="12:20" x14ac:dyDescent="0.35">
      <c r="L1211" t="str">
        <f ca="1">IFERROR(_xludf.XLOOKUP(C1211,CodePath_Defaults!A:A,CodePath_Defaults!D:D,""),IFERROR(_xludf.XLOOKUP(B1211,CodePath_Defaults!B:B,CodePath_Defaults!D:D,""),""))</f>
        <v/>
      </c>
      <c r="T1211" t="s">
        <v>801</v>
      </c>
    </row>
    <row r="1212" spans="12:20" x14ac:dyDescent="0.35">
      <c r="L1212" t="str">
        <f ca="1">IFERROR(_xludf.XLOOKUP(C1212,CodePath_Defaults!A:A,CodePath_Defaults!D:D,""),IFERROR(_xludf.XLOOKUP(B1212,CodePath_Defaults!B:B,CodePath_Defaults!D:D,""),""))</f>
        <v/>
      </c>
      <c r="T1212" t="s">
        <v>801</v>
      </c>
    </row>
    <row r="1213" spans="12:20" x14ac:dyDescent="0.35">
      <c r="L1213" t="str">
        <f ca="1">IFERROR(_xludf.XLOOKUP(C1213,CodePath_Defaults!A:A,CodePath_Defaults!D:D,""),IFERROR(_xludf.XLOOKUP(B1213,CodePath_Defaults!B:B,CodePath_Defaults!D:D,""),""))</f>
        <v/>
      </c>
      <c r="T1213" t="s">
        <v>801</v>
      </c>
    </row>
    <row r="1214" spans="12:20" x14ac:dyDescent="0.35">
      <c r="L1214" t="str">
        <f ca="1">IFERROR(_xludf.XLOOKUP(C1214,CodePath_Defaults!A:A,CodePath_Defaults!D:D,""),IFERROR(_xludf.XLOOKUP(B1214,CodePath_Defaults!B:B,CodePath_Defaults!D:D,""),""))</f>
        <v/>
      </c>
      <c r="T1214" t="s">
        <v>801</v>
      </c>
    </row>
    <row r="1215" spans="12:20" x14ac:dyDescent="0.35">
      <c r="L1215" t="str">
        <f ca="1">IFERROR(_xludf.XLOOKUP(C1215,CodePath_Defaults!A:A,CodePath_Defaults!D:D,""),IFERROR(_xludf.XLOOKUP(B1215,CodePath_Defaults!B:B,CodePath_Defaults!D:D,""),""))</f>
        <v/>
      </c>
      <c r="T1215" t="s">
        <v>801</v>
      </c>
    </row>
    <row r="1216" spans="12:20" x14ac:dyDescent="0.35">
      <c r="L1216" t="str">
        <f ca="1">IFERROR(_xludf.XLOOKUP(C1216,CodePath_Defaults!A:A,CodePath_Defaults!D:D,""),IFERROR(_xludf.XLOOKUP(B1216,CodePath_Defaults!B:B,CodePath_Defaults!D:D,""),""))</f>
        <v/>
      </c>
      <c r="T1216" t="s">
        <v>801</v>
      </c>
    </row>
    <row r="1217" spans="12:20" x14ac:dyDescent="0.35">
      <c r="L1217" t="str">
        <f ca="1">IFERROR(_xludf.XLOOKUP(C1217,CodePath_Defaults!A:A,CodePath_Defaults!D:D,""),IFERROR(_xludf.XLOOKUP(B1217,CodePath_Defaults!B:B,CodePath_Defaults!D:D,""),""))</f>
        <v/>
      </c>
      <c r="T1217" t="s">
        <v>801</v>
      </c>
    </row>
    <row r="1218" spans="12:20" x14ac:dyDescent="0.35">
      <c r="L1218" t="str">
        <f ca="1">IFERROR(_xludf.XLOOKUP(C1218,CodePath_Defaults!A:A,CodePath_Defaults!D:D,""),IFERROR(_xludf.XLOOKUP(B1218,CodePath_Defaults!B:B,CodePath_Defaults!D:D,""),""))</f>
        <v/>
      </c>
      <c r="T1218" t="s">
        <v>801</v>
      </c>
    </row>
    <row r="1219" spans="12:20" x14ac:dyDescent="0.35">
      <c r="L1219" t="str">
        <f ca="1">IFERROR(_xludf.XLOOKUP(C1219,CodePath_Defaults!A:A,CodePath_Defaults!D:D,""),IFERROR(_xludf.XLOOKUP(B1219,CodePath_Defaults!B:B,CodePath_Defaults!D:D,""),""))</f>
        <v/>
      </c>
      <c r="T1219" t="s">
        <v>801</v>
      </c>
    </row>
    <row r="1220" spans="12:20" x14ac:dyDescent="0.35">
      <c r="L1220" t="str">
        <f ca="1">IFERROR(_xludf.XLOOKUP(C1220,CodePath_Defaults!A:A,CodePath_Defaults!D:D,""),IFERROR(_xludf.XLOOKUP(B1220,CodePath_Defaults!B:B,CodePath_Defaults!D:D,""),""))</f>
        <v/>
      </c>
      <c r="T1220" t="s">
        <v>801</v>
      </c>
    </row>
    <row r="1221" spans="12:20" x14ac:dyDescent="0.35">
      <c r="L1221" t="str">
        <f ca="1">IFERROR(_xludf.XLOOKUP(C1221,CodePath_Defaults!A:A,CodePath_Defaults!D:D,""),IFERROR(_xludf.XLOOKUP(B1221,CodePath_Defaults!B:B,CodePath_Defaults!D:D,""),""))</f>
        <v/>
      </c>
      <c r="T1221" t="s">
        <v>801</v>
      </c>
    </row>
    <row r="1222" spans="12:20" x14ac:dyDescent="0.35">
      <c r="L1222" t="str">
        <f ca="1">IFERROR(_xludf.XLOOKUP(C1222,CodePath_Defaults!A:A,CodePath_Defaults!D:D,""),IFERROR(_xludf.XLOOKUP(B1222,CodePath_Defaults!B:B,CodePath_Defaults!D:D,""),""))</f>
        <v/>
      </c>
      <c r="T1222" t="s">
        <v>801</v>
      </c>
    </row>
    <row r="1223" spans="12:20" x14ac:dyDescent="0.35">
      <c r="L1223" t="str">
        <f ca="1">IFERROR(_xludf.XLOOKUP(C1223,CodePath_Defaults!A:A,CodePath_Defaults!D:D,""),IFERROR(_xludf.XLOOKUP(B1223,CodePath_Defaults!B:B,CodePath_Defaults!D:D,""),""))</f>
        <v/>
      </c>
      <c r="T1223" t="s">
        <v>801</v>
      </c>
    </row>
    <row r="1224" spans="12:20" x14ac:dyDescent="0.35">
      <c r="L1224" t="str">
        <f ca="1">IFERROR(_xludf.XLOOKUP(C1224,CodePath_Defaults!A:A,CodePath_Defaults!D:D,""),IFERROR(_xludf.XLOOKUP(B1224,CodePath_Defaults!B:B,CodePath_Defaults!D:D,""),""))</f>
        <v/>
      </c>
      <c r="T1224" t="s">
        <v>801</v>
      </c>
    </row>
    <row r="1225" spans="12:20" x14ac:dyDescent="0.35">
      <c r="L1225" t="str">
        <f ca="1">IFERROR(_xludf.XLOOKUP(C1225,CodePath_Defaults!A:A,CodePath_Defaults!D:D,""),IFERROR(_xludf.XLOOKUP(B1225,CodePath_Defaults!B:B,CodePath_Defaults!D:D,""),""))</f>
        <v/>
      </c>
      <c r="T1225" t="s">
        <v>801</v>
      </c>
    </row>
    <row r="1226" spans="12:20" x14ac:dyDescent="0.35">
      <c r="L1226" t="str">
        <f ca="1">IFERROR(_xludf.XLOOKUP(C1226,CodePath_Defaults!A:A,CodePath_Defaults!D:D,""),IFERROR(_xludf.XLOOKUP(B1226,CodePath_Defaults!B:B,CodePath_Defaults!D:D,""),""))</f>
        <v/>
      </c>
      <c r="T1226" t="s">
        <v>801</v>
      </c>
    </row>
    <row r="1227" spans="12:20" x14ac:dyDescent="0.35">
      <c r="L1227" t="str">
        <f ca="1">IFERROR(_xludf.XLOOKUP(C1227,CodePath_Defaults!A:A,CodePath_Defaults!D:D,""),IFERROR(_xludf.XLOOKUP(B1227,CodePath_Defaults!B:B,CodePath_Defaults!D:D,""),""))</f>
        <v/>
      </c>
      <c r="T1227" t="s">
        <v>801</v>
      </c>
    </row>
    <row r="1228" spans="12:20" x14ac:dyDescent="0.35">
      <c r="L1228" t="str">
        <f ca="1">IFERROR(_xludf.XLOOKUP(C1228,CodePath_Defaults!A:A,CodePath_Defaults!D:D,""),IFERROR(_xludf.XLOOKUP(B1228,CodePath_Defaults!B:B,CodePath_Defaults!D:D,""),""))</f>
        <v/>
      </c>
      <c r="T1228" t="s">
        <v>801</v>
      </c>
    </row>
    <row r="1229" spans="12:20" x14ac:dyDescent="0.35">
      <c r="L1229" t="str">
        <f ca="1">IFERROR(_xludf.XLOOKUP(C1229,CodePath_Defaults!A:A,CodePath_Defaults!D:D,""),IFERROR(_xludf.XLOOKUP(B1229,CodePath_Defaults!B:B,CodePath_Defaults!D:D,""),""))</f>
        <v/>
      </c>
      <c r="T1229" t="s">
        <v>801</v>
      </c>
    </row>
    <row r="1230" spans="12:20" x14ac:dyDescent="0.35">
      <c r="L1230" t="str">
        <f ca="1">IFERROR(_xludf.XLOOKUP(C1230,CodePath_Defaults!A:A,CodePath_Defaults!D:D,""),IFERROR(_xludf.XLOOKUP(B1230,CodePath_Defaults!B:B,CodePath_Defaults!D:D,""),""))</f>
        <v/>
      </c>
      <c r="T1230" t="s">
        <v>801</v>
      </c>
    </row>
    <row r="1231" spans="12:20" x14ac:dyDescent="0.35">
      <c r="L1231" t="str">
        <f ca="1">IFERROR(_xludf.XLOOKUP(C1231,CodePath_Defaults!A:A,CodePath_Defaults!D:D,""),IFERROR(_xludf.XLOOKUP(B1231,CodePath_Defaults!B:B,CodePath_Defaults!D:D,""),""))</f>
        <v/>
      </c>
      <c r="T1231" t="s">
        <v>801</v>
      </c>
    </row>
    <row r="1232" spans="12:20" x14ac:dyDescent="0.35">
      <c r="L1232" t="str">
        <f ca="1">IFERROR(_xludf.XLOOKUP(C1232,CodePath_Defaults!A:A,CodePath_Defaults!D:D,""),IFERROR(_xludf.XLOOKUP(B1232,CodePath_Defaults!B:B,CodePath_Defaults!D:D,""),""))</f>
        <v/>
      </c>
      <c r="T1232" t="s">
        <v>801</v>
      </c>
    </row>
    <row r="1233" spans="12:20" x14ac:dyDescent="0.35">
      <c r="L1233" t="str">
        <f ca="1">IFERROR(_xludf.XLOOKUP(C1233,CodePath_Defaults!A:A,CodePath_Defaults!D:D,""),IFERROR(_xludf.XLOOKUP(B1233,CodePath_Defaults!B:B,CodePath_Defaults!D:D,""),""))</f>
        <v/>
      </c>
      <c r="T1233" t="s">
        <v>801</v>
      </c>
    </row>
    <row r="1234" spans="12:20" x14ac:dyDescent="0.35">
      <c r="L1234" t="str">
        <f ca="1">IFERROR(_xludf.XLOOKUP(C1234,CodePath_Defaults!A:A,CodePath_Defaults!D:D,""),IFERROR(_xludf.XLOOKUP(B1234,CodePath_Defaults!B:B,CodePath_Defaults!D:D,""),""))</f>
        <v/>
      </c>
      <c r="T1234" t="s">
        <v>801</v>
      </c>
    </row>
    <row r="1235" spans="12:20" x14ac:dyDescent="0.35">
      <c r="L1235" t="str">
        <f ca="1">IFERROR(_xludf.XLOOKUP(C1235,CodePath_Defaults!A:A,CodePath_Defaults!D:D,""),IFERROR(_xludf.XLOOKUP(B1235,CodePath_Defaults!B:B,CodePath_Defaults!D:D,""),""))</f>
        <v/>
      </c>
      <c r="T1235" t="s">
        <v>801</v>
      </c>
    </row>
    <row r="1236" spans="12:20" x14ac:dyDescent="0.35">
      <c r="L1236" t="str">
        <f ca="1">IFERROR(_xludf.XLOOKUP(C1236,CodePath_Defaults!A:A,CodePath_Defaults!D:D,""),IFERROR(_xludf.XLOOKUP(B1236,CodePath_Defaults!B:B,CodePath_Defaults!D:D,""),""))</f>
        <v/>
      </c>
      <c r="T1236" t="s">
        <v>801</v>
      </c>
    </row>
    <row r="1237" spans="12:20" x14ac:dyDescent="0.35">
      <c r="L1237" t="str">
        <f ca="1">IFERROR(_xludf.XLOOKUP(C1237,CodePath_Defaults!A:A,CodePath_Defaults!D:D,""),IFERROR(_xludf.XLOOKUP(B1237,CodePath_Defaults!B:B,CodePath_Defaults!D:D,""),""))</f>
        <v/>
      </c>
      <c r="T1237" t="s">
        <v>801</v>
      </c>
    </row>
    <row r="1238" spans="12:20" x14ac:dyDescent="0.35">
      <c r="L1238" t="str">
        <f ca="1">IFERROR(_xludf.XLOOKUP(C1238,CodePath_Defaults!A:A,CodePath_Defaults!D:D,""),IFERROR(_xludf.XLOOKUP(B1238,CodePath_Defaults!B:B,CodePath_Defaults!D:D,""),""))</f>
        <v/>
      </c>
      <c r="T1238" t="s">
        <v>801</v>
      </c>
    </row>
    <row r="1239" spans="12:20" x14ac:dyDescent="0.35">
      <c r="L1239" t="str">
        <f ca="1">IFERROR(_xludf.XLOOKUP(C1239,CodePath_Defaults!A:A,CodePath_Defaults!D:D,""),IFERROR(_xludf.XLOOKUP(B1239,CodePath_Defaults!B:B,CodePath_Defaults!D:D,""),""))</f>
        <v/>
      </c>
      <c r="T1239" t="s">
        <v>801</v>
      </c>
    </row>
    <row r="1240" spans="12:20" x14ac:dyDescent="0.35">
      <c r="L1240" t="str">
        <f ca="1">IFERROR(_xludf.XLOOKUP(C1240,CodePath_Defaults!A:A,CodePath_Defaults!D:D,""),IFERROR(_xludf.XLOOKUP(B1240,CodePath_Defaults!B:B,CodePath_Defaults!D:D,""),""))</f>
        <v/>
      </c>
      <c r="T1240" t="s">
        <v>801</v>
      </c>
    </row>
    <row r="1241" spans="12:20" x14ac:dyDescent="0.35">
      <c r="L1241" t="str">
        <f ca="1">IFERROR(_xludf.XLOOKUP(C1241,CodePath_Defaults!A:A,CodePath_Defaults!D:D,""),IFERROR(_xludf.XLOOKUP(B1241,CodePath_Defaults!B:B,CodePath_Defaults!D:D,""),""))</f>
        <v/>
      </c>
      <c r="T1241" t="s">
        <v>801</v>
      </c>
    </row>
    <row r="1242" spans="12:20" x14ac:dyDescent="0.35">
      <c r="L1242" t="str">
        <f ca="1">IFERROR(_xludf.XLOOKUP(C1242,CodePath_Defaults!A:A,CodePath_Defaults!D:D,""),IFERROR(_xludf.XLOOKUP(B1242,CodePath_Defaults!B:B,CodePath_Defaults!D:D,""),""))</f>
        <v/>
      </c>
      <c r="T1242" t="s">
        <v>801</v>
      </c>
    </row>
    <row r="1243" spans="12:20" x14ac:dyDescent="0.35">
      <c r="L1243" t="str">
        <f ca="1">IFERROR(_xludf.XLOOKUP(C1243,CodePath_Defaults!A:A,CodePath_Defaults!D:D,""),IFERROR(_xludf.XLOOKUP(B1243,CodePath_Defaults!B:B,CodePath_Defaults!D:D,""),""))</f>
        <v/>
      </c>
      <c r="T1243" t="s">
        <v>801</v>
      </c>
    </row>
    <row r="1244" spans="12:20" x14ac:dyDescent="0.35">
      <c r="L1244" t="str">
        <f ca="1">IFERROR(_xludf.XLOOKUP(C1244,CodePath_Defaults!A:A,CodePath_Defaults!D:D,""),IFERROR(_xludf.XLOOKUP(B1244,CodePath_Defaults!B:B,CodePath_Defaults!D:D,""),""))</f>
        <v/>
      </c>
      <c r="T1244" t="s">
        <v>801</v>
      </c>
    </row>
    <row r="1245" spans="12:20" x14ac:dyDescent="0.35">
      <c r="L1245" t="str">
        <f ca="1">IFERROR(_xludf.XLOOKUP(C1245,CodePath_Defaults!A:A,CodePath_Defaults!D:D,""),IFERROR(_xludf.XLOOKUP(B1245,CodePath_Defaults!B:B,CodePath_Defaults!D:D,""),""))</f>
        <v/>
      </c>
      <c r="T1245" t="s">
        <v>801</v>
      </c>
    </row>
    <row r="1246" spans="12:20" x14ac:dyDescent="0.35">
      <c r="L1246" t="str">
        <f ca="1">IFERROR(_xludf.XLOOKUP(C1246,CodePath_Defaults!A:A,CodePath_Defaults!D:D,""),IFERROR(_xludf.XLOOKUP(B1246,CodePath_Defaults!B:B,CodePath_Defaults!D:D,""),""))</f>
        <v/>
      </c>
      <c r="T1246" t="s">
        <v>801</v>
      </c>
    </row>
    <row r="1247" spans="12:20" x14ac:dyDescent="0.35">
      <c r="L1247" t="str">
        <f ca="1">IFERROR(_xludf.XLOOKUP(C1247,CodePath_Defaults!A:A,CodePath_Defaults!D:D,""),IFERROR(_xludf.XLOOKUP(B1247,CodePath_Defaults!B:B,CodePath_Defaults!D:D,""),""))</f>
        <v/>
      </c>
      <c r="T1247" t="s">
        <v>801</v>
      </c>
    </row>
    <row r="1248" spans="12:20" x14ac:dyDescent="0.35">
      <c r="L1248" t="str">
        <f ca="1">IFERROR(_xludf.XLOOKUP(C1248,CodePath_Defaults!A:A,CodePath_Defaults!D:D,""),IFERROR(_xludf.XLOOKUP(B1248,CodePath_Defaults!B:B,CodePath_Defaults!D:D,""),""))</f>
        <v/>
      </c>
      <c r="T1248" t="s">
        <v>801</v>
      </c>
    </row>
    <row r="1249" spans="12:20" x14ac:dyDescent="0.35">
      <c r="L1249" t="str">
        <f ca="1">IFERROR(_xludf.XLOOKUP(C1249,CodePath_Defaults!A:A,CodePath_Defaults!D:D,""),IFERROR(_xludf.XLOOKUP(B1249,CodePath_Defaults!B:B,CodePath_Defaults!D:D,""),""))</f>
        <v/>
      </c>
      <c r="T1249" t="s">
        <v>801</v>
      </c>
    </row>
    <row r="1250" spans="12:20" x14ac:dyDescent="0.35">
      <c r="L1250" t="str">
        <f ca="1">IFERROR(_xludf.XLOOKUP(C1250,CodePath_Defaults!A:A,CodePath_Defaults!D:D,""),IFERROR(_xludf.XLOOKUP(B1250,CodePath_Defaults!B:B,CodePath_Defaults!D:D,""),""))</f>
        <v/>
      </c>
      <c r="T1250" t="s">
        <v>801</v>
      </c>
    </row>
    <row r="1251" spans="12:20" x14ac:dyDescent="0.35">
      <c r="L1251" t="str">
        <f ca="1">IFERROR(_xludf.XLOOKUP(C1251,CodePath_Defaults!A:A,CodePath_Defaults!D:D,""),IFERROR(_xludf.XLOOKUP(B1251,CodePath_Defaults!B:B,CodePath_Defaults!D:D,""),""))</f>
        <v/>
      </c>
      <c r="T1251" t="s">
        <v>801</v>
      </c>
    </row>
    <row r="1252" spans="12:20" x14ac:dyDescent="0.35">
      <c r="L1252" t="str">
        <f ca="1">IFERROR(_xludf.XLOOKUP(C1252,CodePath_Defaults!A:A,CodePath_Defaults!D:D,""),IFERROR(_xludf.XLOOKUP(B1252,CodePath_Defaults!B:B,CodePath_Defaults!D:D,""),""))</f>
        <v/>
      </c>
      <c r="T1252" t="s">
        <v>801</v>
      </c>
    </row>
    <row r="1253" spans="12:20" x14ac:dyDescent="0.35">
      <c r="L1253" t="str">
        <f ca="1">IFERROR(_xludf.XLOOKUP(C1253,CodePath_Defaults!A:A,CodePath_Defaults!D:D,""),IFERROR(_xludf.XLOOKUP(B1253,CodePath_Defaults!B:B,CodePath_Defaults!D:D,""),""))</f>
        <v/>
      </c>
      <c r="T1253" t="s">
        <v>801</v>
      </c>
    </row>
    <row r="1254" spans="12:20" x14ac:dyDescent="0.35">
      <c r="L1254" t="str">
        <f ca="1">IFERROR(_xludf.XLOOKUP(C1254,CodePath_Defaults!A:A,CodePath_Defaults!D:D,""),IFERROR(_xludf.XLOOKUP(B1254,CodePath_Defaults!B:B,CodePath_Defaults!D:D,""),""))</f>
        <v/>
      </c>
      <c r="T1254" t="s">
        <v>801</v>
      </c>
    </row>
    <row r="1255" spans="12:20" x14ac:dyDescent="0.35">
      <c r="L1255" t="str">
        <f ca="1">IFERROR(_xludf.XLOOKUP(C1255,CodePath_Defaults!A:A,CodePath_Defaults!D:D,""),IFERROR(_xludf.XLOOKUP(B1255,CodePath_Defaults!B:B,CodePath_Defaults!D:D,""),""))</f>
        <v/>
      </c>
      <c r="T1255" t="s">
        <v>801</v>
      </c>
    </row>
    <row r="1256" spans="12:20" x14ac:dyDescent="0.35">
      <c r="L1256" t="str">
        <f ca="1">IFERROR(_xludf.XLOOKUP(C1256,CodePath_Defaults!A:A,CodePath_Defaults!D:D,""),IFERROR(_xludf.XLOOKUP(B1256,CodePath_Defaults!B:B,CodePath_Defaults!D:D,""),""))</f>
        <v/>
      </c>
      <c r="T1256" t="s">
        <v>801</v>
      </c>
    </row>
    <row r="1257" spans="12:20" x14ac:dyDescent="0.35">
      <c r="L1257" t="str">
        <f ca="1">IFERROR(_xludf.XLOOKUP(C1257,CodePath_Defaults!A:A,CodePath_Defaults!D:D,""),IFERROR(_xludf.XLOOKUP(B1257,CodePath_Defaults!B:B,CodePath_Defaults!D:D,""),""))</f>
        <v/>
      </c>
      <c r="T1257" t="s">
        <v>801</v>
      </c>
    </row>
    <row r="1258" spans="12:20" x14ac:dyDescent="0.35">
      <c r="L1258" t="str">
        <f ca="1">IFERROR(_xludf.XLOOKUP(C1258,CodePath_Defaults!A:A,CodePath_Defaults!D:D,""),IFERROR(_xludf.XLOOKUP(B1258,CodePath_Defaults!B:B,CodePath_Defaults!D:D,""),""))</f>
        <v/>
      </c>
      <c r="T1258" t="s">
        <v>801</v>
      </c>
    </row>
    <row r="1259" spans="12:20" x14ac:dyDescent="0.35">
      <c r="L1259" t="str">
        <f ca="1">IFERROR(_xludf.XLOOKUP(C1259,CodePath_Defaults!A:A,CodePath_Defaults!D:D,""),IFERROR(_xludf.XLOOKUP(B1259,CodePath_Defaults!B:B,CodePath_Defaults!D:D,""),""))</f>
        <v/>
      </c>
      <c r="T1259" t="s">
        <v>801</v>
      </c>
    </row>
    <row r="1260" spans="12:20" x14ac:dyDescent="0.35">
      <c r="L1260" t="str">
        <f ca="1">IFERROR(_xludf.XLOOKUP(C1260,CodePath_Defaults!A:A,CodePath_Defaults!D:D,""),IFERROR(_xludf.XLOOKUP(B1260,CodePath_Defaults!B:B,CodePath_Defaults!D:D,""),""))</f>
        <v/>
      </c>
      <c r="T1260" t="s">
        <v>801</v>
      </c>
    </row>
    <row r="1261" spans="12:20" x14ac:dyDescent="0.35">
      <c r="L1261" t="str">
        <f ca="1">IFERROR(_xludf.XLOOKUP(C1261,CodePath_Defaults!A:A,CodePath_Defaults!D:D,""),IFERROR(_xludf.XLOOKUP(B1261,CodePath_Defaults!B:B,CodePath_Defaults!D:D,""),""))</f>
        <v/>
      </c>
      <c r="T1261" t="s">
        <v>801</v>
      </c>
    </row>
    <row r="1262" spans="12:20" x14ac:dyDescent="0.35">
      <c r="L1262" t="str">
        <f ca="1">IFERROR(_xludf.XLOOKUP(C1262,CodePath_Defaults!A:A,CodePath_Defaults!D:D,""),IFERROR(_xludf.XLOOKUP(B1262,CodePath_Defaults!B:B,CodePath_Defaults!D:D,""),""))</f>
        <v/>
      </c>
      <c r="T1262" t="s">
        <v>801</v>
      </c>
    </row>
    <row r="1263" spans="12:20" x14ac:dyDescent="0.35">
      <c r="L1263" t="str">
        <f ca="1">IFERROR(_xludf.XLOOKUP(C1263,CodePath_Defaults!A:A,CodePath_Defaults!D:D,""),IFERROR(_xludf.XLOOKUP(B1263,CodePath_Defaults!B:B,CodePath_Defaults!D:D,""),""))</f>
        <v/>
      </c>
      <c r="T1263" t="s">
        <v>801</v>
      </c>
    </row>
    <row r="1264" spans="12:20" x14ac:dyDescent="0.35">
      <c r="L1264" t="str">
        <f ca="1">IFERROR(_xludf.XLOOKUP(C1264,CodePath_Defaults!A:A,CodePath_Defaults!D:D,""),IFERROR(_xludf.XLOOKUP(B1264,CodePath_Defaults!B:B,CodePath_Defaults!D:D,""),""))</f>
        <v/>
      </c>
      <c r="T1264" t="s">
        <v>801</v>
      </c>
    </row>
    <row r="1265" spans="12:20" x14ac:dyDescent="0.35">
      <c r="L1265" t="str">
        <f ca="1">IFERROR(_xludf.XLOOKUP(C1265,CodePath_Defaults!A:A,CodePath_Defaults!D:D,""),IFERROR(_xludf.XLOOKUP(B1265,CodePath_Defaults!B:B,CodePath_Defaults!D:D,""),""))</f>
        <v/>
      </c>
      <c r="T1265" t="s">
        <v>801</v>
      </c>
    </row>
    <row r="1266" spans="12:20" x14ac:dyDescent="0.35">
      <c r="L1266" t="str">
        <f ca="1">IFERROR(_xludf.XLOOKUP(C1266,CodePath_Defaults!A:A,CodePath_Defaults!D:D,""),IFERROR(_xludf.XLOOKUP(B1266,CodePath_Defaults!B:B,CodePath_Defaults!D:D,""),""))</f>
        <v/>
      </c>
      <c r="T1266" t="s">
        <v>801</v>
      </c>
    </row>
    <row r="1267" spans="12:20" x14ac:dyDescent="0.35">
      <c r="L1267" t="str">
        <f ca="1">IFERROR(_xludf.XLOOKUP(C1267,CodePath_Defaults!A:A,CodePath_Defaults!D:D,""),IFERROR(_xludf.XLOOKUP(B1267,CodePath_Defaults!B:B,CodePath_Defaults!D:D,""),""))</f>
        <v/>
      </c>
      <c r="T1267" t="s">
        <v>801</v>
      </c>
    </row>
    <row r="1268" spans="12:20" x14ac:dyDescent="0.35">
      <c r="L1268" t="str">
        <f ca="1">IFERROR(_xludf.XLOOKUP(C1268,CodePath_Defaults!A:A,CodePath_Defaults!D:D,""),IFERROR(_xludf.XLOOKUP(B1268,CodePath_Defaults!B:B,CodePath_Defaults!D:D,""),""))</f>
        <v/>
      </c>
      <c r="T1268" t="s">
        <v>801</v>
      </c>
    </row>
    <row r="1269" spans="12:20" x14ac:dyDescent="0.35">
      <c r="L1269" t="str">
        <f ca="1">IFERROR(_xludf.XLOOKUP(C1269,CodePath_Defaults!A:A,CodePath_Defaults!D:D,""),IFERROR(_xludf.XLOOKUP(B1269,CodePath_Defaults!B:B,CodePath_Defaults!D:D,""),""))</f>
        <v/>
      </c>
      <c r="T1269" t="s">
        <v>801</v>
      </c>
    </row>
    <row r="1270" spans="12:20" x14ac:dyDescent="0.35">
      <c r="L1270" t="str">
        <f ca="1">IFERROR(_xludf.XLOOKUP(C1270,CodePath_Defaults!A:A,CodePath_Defaults!D:D,""),IFERROR(_xludf.XLOOKUP(B1270,CodePath_Defaults!B:B,CodePath_Defaults!D:D,""),""))</f>
        <v/>
      </c>
      <c r="T1270" t="s">
        <v>801</v>
      </c>
    </row>
    <row r="1271" spans="12:20" x14ac:dyDescent="0.35">
      <c r="L1271" t="str">
        <f ca="1">IFERROR(_xludf.XLOOKUP(C1271,CodePath_Defaults!A:A,CodePath_Defaults!D:D,""),IFERROR(_xludf.XLOOKUP(B1271,CodePath_Defaults!B:B,CodePath_Defaults!D:D,""),""))</f>
        <v/>
      </c>
      <c r="T1271" t="s">
        <v>801</v>
      </c>
    </row>
    <row r="1272" spans="12:20" x14ac:dyDescent="0.35">
      <c r="L1272" t="str">
        <f ca="1">IFERROR(_xludf.XLOOKUP(C1272,CodePath_Defaults!A:A,CodePath_Defaults!D:D,""),IFERROR(_xludf.XLOOKUP(B1272,CodePath_Defaults!B:B,CodePath_Defaults!D:D,""),""))</f>
        <v/>
      </c>
      <c r="T1272" t="s">
        <v>801</v>
      </c>
    </row>
    <row r="1273" spans="12:20" x14ac:dyDescent="0.35">
      <c r="L1273" t="str">
        <f ca="1">IFERROR(_xludf.XLOOKUP(C1273,CodePath_Defaults!A:A,CodePath_Defaults!D:D,""),IFERROR(_xludf.XLOOKUP(B1273,CodePath_Defaults!B:B,CodePath_Defaults!D:D,""),""))</f>
        <v/>
      </c>
      <c r="T1273" t="s">
        <v>801</v>
      </c>
    </row>
    <row r="1274" spans="12:20" x14ac:dyDescent="0.35">
      <c r="L1274" t="str">
        <f ca="1">IFERROR(_xludf.XLOOKUP(C1274,CodePath_Defaults!A:A,CodePath_Defaults!D:D,""),IFERROR(_xludf.XLOOKUP(B1274,CodePath_Defaults!B:B,CodePath_Defaults!D:D,""),""))</f>
        <v/>
      </c>
      <c r="T1274" t="s">
        <v>801</v>
      </c>
    </row>
    <row r="1275" spans="12:20" x14ac:dyDescent="0.35">
      <c r="L1275" t="str">
        <f ca="1">IFERROR(_xludf.XLOOKUP(C1275,CodePath_Defaults!A:A,CodePath_Defaults!D:D,""),IFERROR(_xludf.XLOOKUP(B1275,CodePath_Defaults!B:B,CodePath_Defaults!D:D,""),""))</f>
        <v/>
      </c>
      <c r="T1275" t="s">
        <v>801</v>
      </c>
    </row>
    <row r="1276" spans="12:20" x14ac:dyDescent="0.35">
      <c r="L1276" t="str">
        <f ca="1">IFERROR(_xludf.XLOOKUP(C1276,CodePath_Defaults!A:A,CodePath_Defaults!D:D,""),IFERROR(_xludf.XLOOKUP(B1276,CodePath_Defaults!B:B,CodePath_Defaults!D:D,""),""))</f>
        <v/>
      </c>
      <c r="T1276" t="s">
        <v>801</v>
      </c>
    </row>
    <row r="1277" spans="12:20" x14ac:dyDescent="0.35">
      <c r="L1277" t="str">
        <f ca="1">IFERROR(_xludf.XLOOKUP(C1277,CodePath_Defaults!A:A,CodePath_Defaults!D:D,""),IFERROR(_xludf.XLOOKUP(B1277,CodePath_Defaults!B:B,CodePath_Defaults!D:D,""),""))</f>
        <v/>
      </c>
      <c r="T1277" t="s">
        <v>801</v>
      </c>
    </row>
    <row r="1278" spans="12:20" x14ac:dyDescent="0.35">
      <c r="L1278" t="str">
        <f ca="1">IFERROR(_xludf.XLOOKUP(C1278,CodePath_Defaults!A:A,CodePath_Defaults!D:D,""),IFERROR(_xludf.XLOOKUP(B1278,CodePath_Defaults!B:B,CodePath_Defaults!D:D,""),""))</f>
        <v/>
      </c>
      <c r="T1278" t="s">
        <v>801</v>
      </c>
    </row>
    <row r="1279" spans="12:20" x14ac:dyDescent="0.35">
      <c r="L1279" t="str">
        <f ca="1">IFERROR(_xludf.XLOOKUP(C1279,CodePath_Defaults!A:A,CodePath_Defaults!D:D,""),IFERROR(_xludf.XLOOKUP(B1279,CodePath_Defaults!B:B,CodePath_Defaults!D:D,""),""))</f>
        <v/>
      </c>
      <c r="T1279" t="s">
        <v>801</v>
      </c>
    </row>
    <row r="1280" spans="12:20" x14ac:dyDescent="0.35">
      <c r="L1280" t="str">
        <f ca="1">IFERROR(_xludf.XLOOKUP(C1280,CodePath_Defaults!A:A,CodePath_Defaults!D:D,""),IFERROR(_xludf.XLOOKUP(B1280,CodePath_Defaults!B:B,CodePath_Defaults!D:D,""),""))</f>
        <v/>
      </c>
      <c r="T1280" t="s">
        <v>801</v>
      </c>
    </row>
    <row r="1281" spans="12:20" x14ac:dyDescent="0.35">
      <c r="L1281" t="str">
        <f ca="1">IFERROR(_xludf.XLOOKUP(C1281,CodePath_Defaults!A:A,CodePath_Defaults!D:D,""),IFERROR(_xludf.XLOOKUP(B1281,CodePath_Defaults!B:B,CodePath_Defaults!D:D,""),""))</f>
        <v/>
      </c>
      <c r="T1281" t="s">
        <v>801</v>
      </c>
    </row>
    <row r="1282" spans="12:20" x14ac:dyDescent="0.35">
      <c r="L1282" t="str">
        <f ca="1">IFERROR(_xludf.XLOOKUP(C1282,CodePath_Defaults!A:A,CodePath_Defaults!D:D,""),IFERROR(_xludf.XLOOKUP(B1282,CodePath_Defaults!B:B,CodePath_Defaults!D:D,""),""))</f>
        <v/>
      </c>
      <c r="T1282" t="s">
        <v>801</v>
      </c>
    </row>
    <row r="1283" spans="12:20" x14ac:dyDescent="0.35">
      <c r="L1283" t="str">
        <f ca="1">IFERROR(_xludf.XLOOKUP(C1283,CodePath_Defaults!A:A,CodePath_Defaults!D:D,""),IFERROR(_xludf.XLOOKUP(B1283,CodePath_Defaults!B:B,CodePath_Defaults!D:D,""),""))</f>
        <v/>
      </c>
      <c r="T1283" t="s">
        <v>801</v>
      </c>
    </row>
    <row r="1284" spans="12:20" x14ac:dyDescent="0.35">
      <c r="L1284" t="str">
        <f ca="1">IFERROR(_xludf.XLOOKUP(C1284,CodePath_Defaults!A:A,CodePath_Defaults!D:D,""),IFERROR(_xludf.XLOOKUP(B1284,CodePath_Defaults!B:B,CodePath_Defaults!D:D,""),""))</f>
        <v/>
      </c>
      <c r="T1284" t="s">
        <v>801</v>
      </c>
    </row>
    <row r="1285" spans="12:20" x14ac:dyDescent="0.35">
      <c r="L1285" t="str">
        <f ca="1">IFERROR(_xludf.XLOOKUP(C1285,CodePath_Defaults!A:A,CodePath_Defaults!D:D,""),IFERROR(_xludf.XLOOKUP(B1285,CodePath_Defaults!B:B,CodePath_Defaults!D:D,""),""))</f>
        <v/>
      </c>
      <c r="T1285" t="s">
        <v>801</v>
      </c>
    </row>
    <row r="1286" spans="12:20" x14ac:dyDescent="0.35">
      <c r="L1286" t="str">
        <f ca="1">IFERROR(_xludf.XLOOKUP(C1286,CodePath_Defaults!A:A,CodePath_Defaults!D:D,""),IFERROR(_xludf.XLOOKUP(B1286,CodePath_Defaults!B:B,CodePath_Defaults!D:D,""),""))</f>
        <v/>
      </c>
      <c r="T1286" t="s">
        <v>801</v>
      </c>
    </row>
    <row r="1287" spans="12:20" x14ac:dyDescent="0.35">
      <c r="L1287" t="str">
        <f ca="1">IFERROR(_xludf.XLOOKUP(C1287,CodePath_Defaults!A:A,CodePath_Defaults!D:D,""),IFERROR(_xludf.XLOOKUP(B1287,CodePath_Defaults!B:B,CodePath_Defaults!D:D,""),""))</f>
        <v/>
      </c>
      <c r="T1287" t="s">
        <v>801</v>
      </c>
    </row>
    <row r="1288" spans="12:20" x14ac:dyDescent="0.35">
      <c r="L1288" t="str">
        <f ca="1">IFERROR(_xludf.XLOOKUP(C1288,CodePath_Defaults!A:A,CodePath_Defaults!D:D,""),IFERROR(_xludf.XLOOKUP(B1288,CodePath_Defaults!B:B,CodePath_Defaults!D:D,""),""))</f>
        <v/>
      </c>
      <c r="T1288" t="s">
        <v>801</v>
      </c>
    </row>
    <row r="1289" spans="12:20" x14ac:dyDescent="0.35">
      <c r="L1289" t="str">
        <f ca="1">IFERROR(_xludf.XLOOKUP(C1289,CodePath_Defaults!A:A,CodePath_Defaults!D:D,""),IFERROR(_xludf.XLOOKUP(B1289,CodePath_Defaults!B:B,CodePath_Defaults!D:D,""),""))</f>
        <v/>
      </c>
      <c r="T1289" t="s">
        <v>801</v>
      </c>
    </row>
    <row r="1290" spans="12:20" x14ac:dyDescent="0.35">
      <c r="L1290" t="str">
        <f ca="1">IFERROR(_xludf.XLOOKUP(C1290,CodePath_Defaults!A:A,CodePath_Defaults!D:D,""),IFERROR(_xludf.XLOOKUP(B1290,CodePath_Defaults!B:B,CodePath_Defaults!D:D,""),""))</f>
        <v/>
      </c>
      <c r="T1290" t="s">
        <v>801</v>
      </c>
    </row>
    <row r="1291" spans="12:20" x14ac:dyDescent="0.35">
      <c r="L1291" t="str">
        <f ca="1">IFERROR(_xludf.XLOOKUP(C1291,CodePath_Defaults!A:A,CodePath_Defaults!D:D,""),IFERROR(_xludf.XLOOKUP(B1291,CodePath_Defaults!B:B,CodePath_Defaults!D:D,""),""))</f>
        <v/>
      </c>
      <c r="T1291" t="s">
        <v>801</v>
      </c>
    </row>
    <row r="1292" spans="12:20" x14ac:dyDescent="0.35">
      <c r="L1292" t="str">
        <f ca="1">IFERROR(_xludf.XLOOKUP(C1292,CodePath_Defaults!A:A,CodePath_Defaults!D:D,""),IFERROR(_xludf.XLOOKUP(B1292,CodePath_Defaults!B:B,CodePath_Defaults!D:D,""),""))</f>
        <v/>
      </c>
      <c r="T1292" t="s">
        <v>801</v>
      </c>
    </row>
    <row r="1293" spans="12:20" x14ac:dyDescent="0.35">
      <c r="L1293" t="str">
        <f ca="1">IFERROR(_xludf.XLOOKUP(C1293,CodePath_Defaults!A:A,CodePath_Defaults!D:D,""),IFERROR(_xludf.XLOOKUP(B1293,CodePath_Defaults!B:B,CodePath_Defaults!D:D,""),""))</f>
        <v/>
      </c>
      <c r="T1293" t="s">
        <v>801</v>
      </c>
    </row>
    <row r="1294" spans="12:20" x14ac:dyDescent="0.35">
      <c r="L1294" t="str">
        <f ca="1">IFERROR(_xludf.XLOOKUP(C1294,CodePath_Defaults!A:A,CodePath_Defaults!D:D,""),IFERROR(_xludf.XLOOKUP(B1294,CodePath_Defaults!B:B,CodePath_Defaults!D:D,""),""))</f>
        <v/>
      </c>
      <c r="T1294" t="s">
        <v>801</v>
      </c>
    </row>
    <row r="1295" spans="12:20" x14ac:dyDescent="0.35">
      <c r="L1295" t="str">
        <f ca="1">IFERROR(_xludf.XLOOKUP(C1295,CodePath_Defaults!A:A,CodePath_Defaults!D:D,""),IFERROR(_xludf.XLOOKUP(B1295,CodePath_Defaults!B:B,CodePath_Defaults!D:D,""),""))</f>
        <v/>
      </c>
      <c r="T1295" t="s">
        <v>801</v>
      </c>
    </row>
    <row r="1296" spans="12:20" x14ac:dyDescent="0.35">
      <c r="L1296" t="str">
        <f ca="1">IFERROR(_xludf.XLOOKUP(C1296,CodePath_Defaults!A:A,CodePath_Defaults!D:D,""),IFERROR(_xludf.XLOOKUP(B1296,CodePath_Defaults!B:B,CodePath_Defaults!D:D,""),""))</f>
        <v/>
      </c>
      <c r="T1296" t="s">
        <v>801</v>
      </c>
    </row>
    <row r="1297" spans="12:20" x14ac:dyDescent="0.35">
      <c r="L1297" t="str">
        <f ca="1">IFERROR(_xludf.XLOOKUP(C1297,CodePath_Defaults!A:A,CodePath_Defaults!D:D,""),IFERROR(_xludf.XLOOKUP(B1297,CodePath_Defaults!B:B,CodePath_Defaults!D:D,""),""))</f>
        <v/>
      </c>
      <c r="T1297" t="s">
        <v>801</v>
      </c>
    </row>
    <row r="1298" spans="12:20" x14ac:dyDescent="0.35">
      <c r="L1298" t="str">
        <f ca="1">IFERROR(_xludf.XLOOKUP(C1298,CodePath_Defaults!A:A,CodePath_Defaults!D:D,""),IFERROR(_xludf.XLOOKUP(B1298,CodePath_Defaults!B:B,CodePath_Defaults!D:D,""),""))</f>
        <v/>
      </c>
      <c r="T1298" t="s">
        <v>801</v>
      </c>
    </row>
    <row r="1299" spans="12:20" x14ac:dyDescent="0.35">
      <c r="L1299" t="str">
        <f ca="1">IFERROR(_xludf.XLOOKUP(C1299,CodePath_Defaults!A:A,CodePath_Defaults!D:D,""),IFERROR(_xludf.XLOOKUP(B1299,CodePath_Defaults!B:B,CodePath_Defaults!D:D,""),""))</f>
        <v/>
      </c>
      <c r="T1299" t="s">
        <v>801</v>
      </c>
    </row>
    <row r="1300" spans="12:20" x14ac:dyDescent="0.35">
      <c r="L1300" t="str">
        <f ca="1">IFERROR(_xludf.XLOOKUP(C1300,CodePath_Defaults!A:A,CodePath_Defaults!D:D,""),IFERROR(_xludf.XLOOKUP(B1300,CodePath_Defaults!B:B,CodePath_Defaults!D:D,""),""))</f>
        <v/>
      </c>
      <c r="T1300" t="s">
        <v>801</v>
      </c>
    </row>
    <row r="1301" spans="12:20" x14ac:dyDescent="0.35">
      <c r="L1301" t="str">
        <f ca="1">IFERROR(_xludf.XLOOKUP(C1301,CodePath_Defaults!A:A,CodePath_Defaults!D:D,""),IFERROR(_xludf.XLOOKUP(B1301,CodePath_Defaults!B:B,CodePath_Defaults!D:D,""),""))</f>
        <v/>
      </c>
      <c r="T1301" t="s">
        <v>801</v>
      </c>
    </row>
    <row r="1302" spans="12:20" x14ac:dyDescent="0.35">
      <c r="L1302" t="str">
        <f ca="1">IFERROR(_xludf.XLOOKUP(C1302,CodePath_Defaults!A:A,CodePath_Defaults!D:D,""),IFERROR(_xludf.XLOOKUP(B1302,CodePath_Defaults!B:B,CodePath_Defaults!D:D,""),""))</f>
        <v/>
      </c>
      <c r="T1302" t="s">
        <v>801</v>
      </c>
    </row>
    <row r="1303" spans="12:20" x14ac:dyDescent="0.35">
      <c r="L1303" t="str">
        <f ca="1">IFERROR(_xludf.XLOOKUP(C1303,CodePath_Defaults!A:A,CodePath_Defaults!D:D,""),IFERROR(_xludf.XLOOKUP(B1303,CodePath_Defaults!B:B,CodePath_Defaults!D:D,""),""))</f>
        <v/>
      </c>
      <c r="T1303" t="s">
        <v>801</v>
      </c>
    </row>
    <row r="1304" spans="12:20" x14ac:dyDescent="0.35">
      <c r="L1304" t="str">
        <f ca="1">IFERROR(_xludf.XLOOKUP(C1304,CodePath_Defaults!A:A,CodePath_Defaults!D:D,""),IFERROR(_xludf.XLOOKUP(B1304,CodePath_Defaults!B:B,CodePath_Defaults!D:D,""),""))</f>
        <v/>
      </c>
      <c r="T1304" t="s">
        <v>801</v>
      </c>
    </row>
    <row r="1305" spans="12:20" x14ac:dyDescent="0.35">
      <c r="L1305" t="str">
        <f ca="1">IFERROR(_xludf.XLOOKUP(C1305,CodePath_Defaults!A:A,CodePath_Defaults!D:D,""),IFERROR(_xludf.XLOOKUP(B1305,CodePath_Defaults!B:B,CodePath_Defaults!D:D,""),""))</f>
        <v/>
      </c>
      <c r="T1305" t="s">
        <v>801</v>
      </c>
    </row>
    <row r="1306" spans="12:20" x14ac:dyDescent="0.35">
      <c r="L1306" t="str">
        <f ca="1">IFERROR(_xludf.XLOOKUP(C1306,CodePath_Defaults!A:A,CodePath_Defaults!D:D,""),IFERROR(_xludf.XLOOKUP(B1306,CodePath_Defaults!B:B,CodePath_Defaults!D:D,""),""))</f>
        <v/>
      </c>
      <c r="T1306" t="s">
        <v>801</v>
      </c>
    </row>
    <row r="1307" spans="12:20" x14ac:dyDescent="0.35">
      <c r="L1307" t="str">
        <f ca="1">IFERROR(_xludf.XLOOKUP(C1307,CodePath_Defaults!A:A,CodePath_Defaults!D:D,""),IFERROR(_xludf.XLOOKUP(B1307,CodePath_Defaults!B:B,CodePath_Defaults!D:D,""),""))</f>
        <v/>
      </c>
      <c r="T1307" t="s">
        <v>801</v>
      </c>
    </row>
    <row r="1308" spans="12:20" x14ac:dyDescent="0.35">
      <c r="L1308" t="str">
        <f ca="1">IFERROR(_xludf.XLOOKUP(C1308,CodePath_Defaults!A:A,CodePath_Defaults!D:D,""),IFERROR(_xludf.XLOOKUP(B1308,CodePath_Defaults!B:B,CodePath_Defaults!D:D,""),""))</f>
        <v/>
      </c>
      <c r="T1308" t="s">
        <v>801</v>
      </c>
    </row>
    <row r="1309" spans="12:20" x14ac:dyDescent="0.35">
      <c r="L1309" t="str">
        <f ca="1">IFERROR(_xludf.XLOOKUP(C1309,CodePath_Defaults!A:A,CodePath_Defaults!D:D,""),IFERROR(_xludf.XLOOKUP(B1309,CodePath_Defaults!B:B,CodePath_Defaults!D:D,""),""))</f>
        <v/>
      </c>
      <c r="T1309" t="s">
        <v>801</v>
      </c>
    </row>
    <row r="1310" spans="12:20" x14ac:dyDescent="0.35">
      <c r="L1310" t="str">
        <f ca="1">IFERROR(_xludf.XLOOKUP(C1310,CodePath_Defaults!A:A,CodePath_Defaults!D:D,""),IFERROR(_xludf.XLOOKUP(B1310,CodePath_Defaults!B:B,CodePath_Defaults!D:D,""),""))</f>
        <v/>
      </c>
      <c r="T1310" t="s">
        <v>801</v>
      </c>
    </row>
    <row r="1311" spans="12:20" x14ac:dyDescent="0.35">
      <c r="L1311" t="str">
        <f ca="1">IFERROR(_xludf.XLOOKUP(C1311,CodePath_Defaults!A:A,CodePath_Defaults!D:D,""),IFERROR(_xludf.XLOOKUP(B1311,CodePath_Defaults!B:B,CodePath_Defaults!D:D,""),""))</f>
        <v/>
      </c>
      <c r="T1311" t="s">
        <v>801</v>
      </c>
    </row>
    <row r="1312" spans="12:20" x14ac:dyDescent="0.35">
      <c r="L1312" t="str">
        <f ca="1">IFERROR(_xludf.XLOOKUP(C1312,CodePath_Defaults!A:A,CodePath_Defaults!D:D,""),IFERROR(_xludf.XLOOKUP(B1312,CodePath_Defaults!B:B,CodePath_Defaults!D:D,""),""))</f>
        <v/>
      </c>
      <c r="T1312" t="s">
        <v>801</v>
      </c>
    </row>
    <row r="1313" spans="12:20" x14ac:dyDescent="0.35">
      <c r="L1313" t="str">
        <f ca="1">IFERROR(_xludf.XLOOKUP(C1313,CodePath_Defaults!A:A,CodePath_Defaults!D:D,""),IFERROR(_xludf.XLOOKUP(B1313,CodePath_Defaults!B:B,CodePath_Defaults!D:D,""),""))</f>
        <v/>
      </c>
      <c r="T1313" t="s">
        <v>801</v>
      </c>
    </row>
    <row r="1314" spans="12:20" x14ac:dyDescent="0.35">
      <c r="L1314" t="str">
        <f ca="1">IFERROR(_xludf.XLOOKUP(C1314,CodePath_Defaults!A:A,CodePath_Defaults!D:D,""),IFERROR(_xludf.XLOOKUP(B1314,CodePath_Defaults!B:B,CodePath_Defaults!D:D,""),""))</f>
        <v/>
      </c>
      <c r="T1314" t="s">
        <v>801</v>
      </c>
    </row>
    <row r="1315" spans="12:20" x14ac:dyDescent="0.35">
      <c r="L1315" t="str">
        <f ca="1">IFERROR(_xludf.XLOOKUP(C1315,CodePath_Defaults!A:A,CodePath_Defaults!D:D,""),IFERROR(_xludf.XLOOKUP(B1315,CodePath_Defaults!B:B,CodePath_Defaults!D:D,""),""))</f>
        <v/>
      </c>
      <c r="T1315" t="s">
        <v>801</v>
      </c>
    </row>
    <row r="1316" spans="12:20" x14ac:dyDescent="0.35">
      <c r="L1316" t="str">
        <f ca="1">IFERROR(_xludf.XLOOKUP(C1316,CodePath_Defaults!A:A,CodePath_Defaults!D:D,""),IFERROR(_xludf.XLOOKUP(B1316,CodePath_Defaults!B:B,CodePath_Defaults!D:D,""),""))</f>
        <v/>
      </c>
      <c r="T1316" t="s">
        <v>801</v>
      </c>
    </row>
    <row r="1317" spans="12:20" x14ac:dyDescent="0.35">
      <c r="L1317" t="str">
        <f ca="1">IFERROR(_xludf.XLOOKUP(C1317,CodePath_Defaults!A:A,CodePath_Defaults!D:D,""),IFERROR(_xludf.XLOOKUP(B1317,CodePath_Defaults!B:B,CodePath_Defaults!D:D,""),""))</f>
        <v/>
      </c>
      <c r="T1317" t="s">
        <v>801</v>
      </c>
    </row>
    <row r="1318" spans="12:20" x14ac:dyDescent="0.35">
      <c r="L1318" t="str">
        <f ca="1">IFERROR(_xludf.XLOOKUP(C1318,CodePath_Defaults!A:A,CodePath_Defaults!D:D,""),IFERROR(_xludf.XLOOKUP(B1318,CodePath_Defaults!B:B,CodePath_Defaults!D:D,""),""))</f>
        <v/>
      </c>
      <c r="T1318" t="s">
        <v>801</v>
      </c>
    </row>
    <row r="1319" spans="12:20" x14ac:dyDescent="0.35">
      <c r="L1319" t="str">
        <f ca="1">IFERROR(_xludf.XLOOKUP(C1319,CodePath_Defaults!A:A,CodePath_Defaults!D:D,""),IFERROR(_xludf.XLOOKUP(B1319,CodePath_Defaults!B:B,CodePath_Defaults!D:D,""),""))</f>
        <v/>
      </c>
      <c r="T1319" t="s">
        <v>801</v>
      </c>
    </row>
    <row r="1320" spans="12:20" x14ac:dyDescent="0.35">
      <c r="L1320" t="str">
        <f ca="1">IFERROR(_xludf.XLOOKUP(C1320,CodePath_Defaults!A:A,CodePath_Defaults!D:D,""),IFERROR(_xludf.XLOOKUP(B1320,CodePath_Defaults!B:B,CodePath_Defaults!D:D,""),""))</f>
        <v/>
      </c>
      <c r="T1320" t="s">
        <v>801</v>
      </c>
    </row>
    <row r="1321" spans="12:20" x14ac:dyDescent="0.35">
      <c r="L1321" t="str">
        <f ca="1">IFERROR(_xludf.XLOOKUP(C1321,CodePath_Defaults!A:A,CodePath_Defaults!D:D,""),IFERROR(_xludf.XLOOKUP(B1321,CodePath_Defaults!B:B,CodePath_Defaults!D:D,""),""))</f>
        <v/>
      </c>
      <c r="T1321" t="s">
        <v>801</v>
      </c>
    </row>
    <row r="1322" spans="12:20" x14ac:dyDescent="0.35">
      <c r="L1322" t="str">
        <f ca="1">IFERROR(_xludf.XLOOKUP(C1322,CodePath_Defaults!A:A,CodePath_Defaults!D:D,""),IFERROR(_xludf.XLOOKUP(B1322,CodePath_Defaults!B:B,CodePath_Defaults!D:D,""),""))</f>
        <v/>
      </c>
      <c r="T1322" t="s">
        <v>801</v>
      </c>
    </row>
    <row r="1323" spans="12:20" x14ac:dyDescent="0.35">
      <c r="L1323" t="str">
        <f ca="1">IFERROR(_xludf.XLOOKUP(C1323,CodePath_Defaults!A:A,CodePath_Defaults!D:D,""),IFERROR(_xludf.XLOOKUP(B1323,CodePath_Defaults!B:B,CodePath_Defaults!D:D,""),""))</f>
        <v/>
      </c>
      <c r="T1323" t="s">
        <v>801</v>
      </c>
    </row>
    <row r="1324" spans="12:20" x14ac:dyDescent="0.35">
      <c r="L1324" t="str">
        <f ca="1">IFERROR(_xludf.XLOOKUP(C1324,CodePath_Defaults!A:A,CodePath_Defaults!D:D,""),IFERROR(_xludf.XLOOKUP(B1324,CodePath_Defaults!B:B,CodePath_Defaults!D:D,""),""))</f>
        <v/>
      </c>
      <c r="T1324" t="s">
        <v>801</v>
      </c>
    </row>
    <row r="1325" spans="12:20" x14ac:dyDescent="0.35">
      <c r="L1325" t="str">
        <f ca="1">IFERROR(_xludf.XLOOKUP(C1325,CodePath_Defaults!A:A,CodePath_Defaults!D:D,""),IFERROR(_xludf.XLOOKUP(B1325,CodePath_Defaults!B:B,CodePath_Defaults!D:D,""),""))</f>
        <v/>
      </c>
      <c r="T1325" t="s">
        <v>801</v>
      </c>
    </row>
    <row r="1326" spans="12:20" x14ac:dyDescent="0.35">
      <c r="L1326" t="str">
        <f ca="1">IFERROR(_xludf.XLOOKUP(C1326,CodePath_Defaults!A:A,CodePath_Defaults!D:D,""),IFERROR(_xludf.XLOOKUP(B1326,CodePath_Defaults!B:B,CodePath_Defaults!D:D,""),""))</f>
        <v/>
      </c>
      <c r="T1326" t="s">
        <v>801</v>
      </c>
    </row>
    <row r="1327" spans="12:20" x14ac:dyDescent="0.35">
      <c r="L1327" t="str">
        <f ca="1">IFERROR(_xludf.XLOOKUP(C1327,CodePath_Defaults!A:A,CodePath_Defaults!D:D,""),IFERROR(_xludf.XLOOKUP(B1327,CodePath_Defaults!B:B,CodePath_Defaults!D:D,""),""))</f>
        <v/>
      </c>
      <c r="T1327" t="s">
        <v>801</v>
      </c>
    </row>
    <row r="1328" spans="12:20" x14ac:dyDescent="0.35">
      <c r="L1328" t="str">
        <f ca="1">IFERROR(_xludf.XLOOKUP(C1328,CodePath_Defaults!A:A,CodePath_Defaults!D:D,""),IFERROR(_xludf.XLOOKUP(B1328,CodePath_Defaults!B:B,CodePath_Defaults!D:D,""),""))</f>
        <v/>
      </c>
      <c r="T1328" t="s">
        <v>801</v>
      </c>
    </row>
    <row r="1329" spans="12:20" x14ac:dyDescent="0.35">
      <c r="L1329" t="str">
        <f ca="1">IFERROR(_xludf.XLOOKUP(C1329,CodePath_Defaults!A:A,CodePath_Defaults!D:D,""),IFERROR(_xludf.XLOOKUP(B1329,CodePath_Defaults!B:B,CodePath_Defaults!D:D,""),""))</f>
        <v/>
      </c>
      <c r="T1329" t="s">
        <v>801</v>
      </c>
    </row>
    <row r="1330" spans="12:20" x14ac:dyDescent="0.35">
      <c r="L1330" t="str">
        <f ca="1">IFERROR(_xludf.XLOOKUP(C1330,CodePath_Defaults!A:A,CodePath_Defaults!D:D,""),IFERROR(_xludf.XLOOKUP(B1330,CodePath_Defaults!B:B,CodePath_Defaults!D:D,""),""))</f>
        <v/>
      </c>
      <c r="T1330" t="s">
        <v>801</v>
      </c>
    </row>
    <row r="1331" spans="12:20" x14ac:dyDescent="0.35">
      <c r="L1331" t="str">
        <f ca="1">IFERROR(_xludf.XLOOKUP(C1331,CodePath_Defaults!A:A,CodePath_Defaults!D:D,""),IFERROR(_xludf.XLOOKUP(B1331,CodePath_Defaults!B:B,CodePath_Defaults!D:D,""),""))</f>
        <v/>
      </c>
      <c r="T1331" t="s">
        <v>801</v>
      </c>
    </row>
    <row r="1332" spans="12:20" x14ac:dyDescent="0.35">
      <c r="L1332" t="str">
        <f ca="1">IFERROR(_xludf.XLOOKUP(C1332,CodePath_Defaults!A:A,CodePath_Defaults!D:D,""),IFERROR(_xludf.XLOOKUP(B1332,CodePath_Defaults!B:B,CodePath_Defaults!D:D,""),""))</f>
        <v/>
      </c>
      <c r="T1332" t="s">
        <v>801</v>
      </c>
    </row>
    <row r="1333" spans="12:20" x14ac:dyDescent="0.35">
      <c r="L1333" t="str">
        <f ca="1">IFERROR(_xludf.XLOOKUP(C1333,CodePath_Defaults!A:A,CodePath_Defaults!D:D,""),IFERROR(_xludf.XLOOKUP(B1333,CodePath_Defaults!B:B,CodePath_Defaults!D:D,""),""))</f>
        <v/>
      </c>
      <c r="T1333" t="s">
        <v>801</v>
      </c>
    </row>
    <row r="1334" spans="12:20" x14ac:dyDescent="0.35">
      <c r="L1334" t="str">
        <f ca="1">IFERROR(_xludf.XLOOKUP(C1334,CodePath_Defaults!A:A,CodePath_Defaults!D:D,""),IFERROR(_xludf.XLOOKUP(B1334,CodePath_Defaults!B:B,CodePath_Defaults!D:D,""),""))</f>
        <v/>
      </c>
      <c r="T1334" t="s">
        <v>801</v>
      </c>
    </row>
    <row r="1335" spans="12:20" x14ac:dyDescent="0.35">
      <c r="L1335" t="str">
        <f ca="1">IFERROR(_xludf.XLOOKUP(C1335,CodePath_Defaults!A:A,CodePath_Defaults!D:D,""),IFERROR(_xludf.XLOOKUP(B1335,CodePath_Defaults!B:B,CodePath_Defaults!D:D,""),""))</f>
        <v/>
      </c>
      <c r="T1335" t="s">
        <v>801</v>
      </c>
    </row>
    <row r="1336" spans="12:20" x14ac:dyDescent="0.35">
      <c r="L1336" t="str">
        <f ca="1">IFERROR(_xludf.XLOOKUP(C1336,CodePath_Defaults!A:A,CodePath_Defaults!D:D,""),IFERROR(_xludf.XLOOKUP(B1336,CodePath_Defaults!B:B,CodePath_Defaults!D:D,""),""))</f>
        <v/>
      </c>
      <c r="T1336" t="s">
        <v>801</v>
      </c>
    </row>
    <row r="1337" spans="12:20" x14ac:dyDescent="0.35">
      <c r="L1337" t="str">
        <f ca="1">IFERROR(_xludf.XLOOKUP(C1337,CodePath_Defaults!A:A,CodePath_Defaults!D:D,""),IFERROR(_xludf.XLOOKUP(B1337,CodePath_Defaults!B:B,CodePath_Defaults!D:D,""),""))</f>
        <v/>
      </c>
      <c r="T1337" t="s">
        <v>801</v>
      </c>
    </row>
    <row r="1338" spans="12:20" x14ac:dyDescent="0.35">
      <c r="L1338" t="str">
        <f ca="1">IFERROR(_xludf.XLOOKUP(C1338,CodePath_Defaults!A:A,CodePath_Defaults!D:D,""),IFERROR(_xludf.XLOOKUP(B1338,CodePath_Defaults!B:B,CodePath_Defaults!D:D,""),""))</f>
        <v/>
      </c>
      <c r="T1338" t="s">
        <v>801</v>
      </c>
    </row>
    <row r="1339" spans="12:20" x14ac:dyDescent="0.35">
      <c r="L1339" t="str">
        <f ca="1">IFERROR(_xludf.XLOOKUP(C1339,CodePath_Defaults!A:A,CodePath_Defaults!D:D,""),IFERROR(_xludf.XLOOKUP(B1339,CodePath_Defaults!B:B,CodePath_Defaults!D:D,""),""))</f>
        <v/>
      </c>
      <c r="T1339" t="s">
        <v>801</v>
      </c>
    </row>
    <row r="1340" spans="12:20" x14ac:dyDescent="0.35">
      <c r="L1340" t="str">
        <f ca="1">IFERROR(_xludf.XLOOKUP(C1340,CodePath_Defaults!A:A,CodePath_Defaults!D:D,""),IFERROR(_xludf.XLOOKUP(B1340,CodePath_Defaults!B:B,CodePath_Defaults!D:D,""),""))</f>
        <v/>
      </c>
      <c r="T1340" t="s">
        <v>801</v>
      </c>
    </row>
    <row r="1341" spans="12:20" x14ac:dyDescent="0.35">
      <c r="L1341" t="str">
        <f ca="1">IFERROR(_xludf.XLOOKUP(C1341,CodePath_Defaults!A:A,CodePath_Defaults!D:D,""),IFERROR(_xludf.XLOOKUP(B1341,CodePath_Defaults!B:B,CodePath_Defaults!D:D,""),""))</f>
        <v/>
      </c>
      <c r="T1341" t="s">
        <v>801</v>
      </c>
    </row>
    <row r="1342" spans="12:20" x14ac:dyDescent="0.35">
      <c r="L1342" t="str">
        <f ca="1">IFERROR(_xludf.XLOOKUP(C1342,CodePath_Defaults!A:A,CodePath_Defaults!D:D,""),IFERROR(_xludf.XLOOKUP(B1342,CodePath_Defaults!B:B,CodePath_Defaults!D:D,""),""))</f>
        <v/>
      </c>
      <c r="T1342" t="s">
        <v>801</v>
      </c>
    </row>
    <row r="1343" spans="12:20" x14ac:dyDescent="0.35">
      <c r="L1343" t="str">
        <f ca="1">IFERROR(_xludf.XLOOKUP(C1343,CodePath_Defaults!A:A,CodePath_Defaults!D:D,""),IFERROR(_xludf.XLOOKUP(B1343,CodePath_Defaults!B:B,CodePath_Defaults!D:D,""),""))</f>
        <v/>
      </c>
      <c r="T1343" t="s">
        <v>801</v>
      </c>
    </row>
    <row r="1344" spans="12:20" x14ac:dyDescent="0.35">
      <c r="L1344" t="str">
        <f ca="1">IFERROR(_xludf.XLOOKUP(C1344,CodePath_Defaults!A:A,CodePath_Defaults!D:D,""),IFERROR(_xludf.XLOOKUP(B1344,CodePath_Defaults!B:B,CodePath_Defaults!D:D,""),""))</f>
        <v/>
      </c>
      <c r="T1344" t="s">
        <v>801</v>
      </c>
    </row>
    <row r="1345" spans="12:20" x14ac:dyDescent="0.35">
      <c r="L1345" t="str">
        <f ca="1">IFERROR(_xludf.XLOOKUP(C1345,CodePath_Defaults!A:A,CodePath_Defaults!D:D,""),IFERROR(_xludf.XLOOKUP(B1345,CodePath_Defaults!B:B,CodePath_Defaults!D:D,""),""))</f>
        <v/>
      </c>
      <c r="T1345" t="s">
        <v>801</v>
      </c>
    </row>
    <row r="1346" spans="12:20" x14ac:dyDescent="0.35">
      <c r="L1346" t="str">
        <f ca="1">IFERROR(_xludf.XLOOKUP(C1346,CodePath_Defaults!A:A,CodePath_Defaults!D:D,""),IFERROR(_xludf.XLOOKUP(B1346,CodePath_Defaults!B:B,CodePath_Defaults!D:D,""),""))</f>
        <v/>
      </c>
      <c r="T1346" t="s">
        <v>801</v>
      </c>
    </row>
    <row r="1347" spans="12:20" x14ac:dyDescent="0.35">
      <c r="L1347" t="str">
        <f ca="1">IFERROR(_xludf.XLOOKUP(C1347,CodePath_Defaults!A:A,CodePath_Defaults!D:D,""),IFERROR(_xludf.XLOOKUP(B1347,CodePath_Defaults!B:B,CodePath_Defaults!D:D,""),""))</f>
        <v/>
      </c>
      <c r="T1347" t="s">
        <v>801</v>
      </c>
    </row>
    <row r="1348" spans="12:20" x14ac:dyDescent="0.35">
      <c r="L1348" t="str">
        <f ca="1">IFERROR(_xludf.XLOOKUP(C1348,CodePath_Defaults!A:A,CodePath_Defaults!D:D,""),IFERROR(_xludf.XLOOKUP(B1348,CodePath_Defaults!B:B,CodePath_Defaults!D:D,""),""))</f>
        <v/>
      </c>
      <c r="T1348" t="s">
        <v>801</v>
      </c>
    </row>
    <row r="1349" spans="12:20" x14ac:dyDescent="0.35">
      <c r="L1349" t="str">
        <f ca="1">IFERROR(_xludf.XLOOKUP(C1349,CodePath_Defaults!A:A,CodePath_Defaults!D:D,""),IFERROR(_xludf.XLOOKUP(B1349,CodePath_Defaults!B:B,CodePath_Defaults!D:D,""),""))</f>
        <v/>
      </c>
      <c r="T1349" t="s">
        <v>801</v>
      </c>
    </row>
    <row r="1350" spans="12:20" x14ac:dyDescent="0.35">
      <c r="L1350" t="str">
        <f ca="1">IFERROR(_xludf.XLOOKUP(C1350,CodePath_Defaults!A:A,CodePath_Defaults!D:D,""),IFERROR(_xludf.XLOOKUP(B1350,CodePath_Defaults!B:B,CodePath_Defaults!D:D,""),""))</f>
        <v/>
      </c>
      <c r="T1350" t="s">
        <v>801</v>
      </c>
    </row>
    <row r="1351" spans="12:20" x14ac:dyDescent="0.35">
      <c r="L1351" t="str">
        <f ca="1">IFERROR(_xludf.XLOOKUP(C1351,CodePath_Defaults!A:A,CodePath_Defaults!D:D,""),IFERROR(_xludf.XLOOKUP(B1351,CodePath_Defaults!B:B,CodePath_Defaults!D:D,""),""))</f>
        <v/>
      </c>
      <c r="T1351" t="s">
        <v>801</v>
      </c>
    </row>
    <row r="1352" spans="12:20" x14ac:dyDescent="0.35">
      <c r="L1352" t="str">
        <f ca="1">IFERROR(_xludf.XLOOKUP(C1352,CodePath_Defaults!A:A,CodePath_Defaults!D:D,""),IFERROR(_xludf.XLOOKUP(B1352,CodePath_Defaults!B:B,CodePath_Defaults!D:D,""),""))</f>
        <v/>
      </c>
      <c r="T1352" t="s">
        <v>801</v>
      </c>
    </row>
    <row r="1353" spans="12:20" x14ac:dyDescent="0.35">
      <c r="L1353" t="str">
        <f ca="1">IFERROR(_xludf.XLOOKUP(C1353,CodePath_Defaults!A:A,CodePath_Defaults!D:D,""),IFERROR(_xludf.XLOOKUP(B1353,CodePath_Defaults!B:B,CodePath_Defaults!D:D,""),""))</f>
        <v/>
      </c>
      <c r="T1353" t="s">
        <v>801</v>
      </c>
    </row>
    <row r="1354" spans="12:20" x14ac:dyDescent="0.35">
      <c r="L1354" t="str">
        <f ca="1">IFERROR(_xludf.XLOOKUP(C1354,CodePath_Defaults!A:A,CodePath_Defaults!D:D,""),IFERROR(_xludf.XLOOKUP(B1354,CodePath_Defaults!B:B,CodePath_Defaults!D:D,""),""))</f>
        <v/>
      </c>
      <c r="T1354" t="s">
        <v>801</v>
      </c>
    </row>
    <row r="1355" spans="12:20" x14ac:dyDescent="0.35">
      <c r="L1355" t="str">
        <f ca="1">IFERROR(_xludf.XLOOKUP(C1355,CodePath_Defaults!A:A,CodePath_Defaults!D:D,""),IFERROR(_xludf.XLOOKUP(B1355,CodePath_Defaults!B:B,CodePath_Defaults!D:D,""),""))</f>
        <v/>
      </c>
      <c r="T1355" t="s">
        <v>801</v>
      </c>
    </row>
    <row r="1356" spans="12:20" x14ac:dyDescent="0.35">
      <c r="L1356" t="str">
        <f ca="1">IFERROR(_xludf.XLOOKUP(C1356,CodePath_Defaults!A:A,CodePath_Defaults!D:D,""),IFERROR(_xludf.XLOOKUP(B1356,CodePath_Defaults!B:B,CodePath_Defaults!D:D,""),""))</f>
        <v/>
      </c>
      <c r="T1356" t="s">
        <v>801</v>
      </c>
    </row>
    <row r="1357" spans="12:20" x14ac:dyDescent="0.35">
      <c r="L1357" t="str">
        <f ca="1">IFERROR(_xludf.XLOOKUP(C1357,CodePath_Defaults!A:A,CodePath_Defaults!D:D,""),IFERROR(_xludf.XLOOKUP(B1357,CodePath_Defaults!B:B,CodePath_Defaults!D:D,""),""))</f>
        <v/>
      </c>
      <c r="T1357" t="s">
        <v>801</v>
      </c>
    </row>
    <row r="1358" spans="12:20" x14ac:dyDescent="0.35">
      <c r="L1358" t="str">
        <f ca="1">IFERROR(_xludf.XLOOKUP(C1358,CodePath_Defaults!A:A,CodePath_Defaults!D:D,""),IFERROR(_xludf.XLOOKUP(B1358,CodePath_Defaults!B:B,CodePath_Defaults!D:D,""),""))</f>
        <v/>
      </c>
      <c r="T1358" t="s">
        <v>801</v>
      </c>
    </row>
    <row r="1359" spans="12:20" x14ac:dyDescent="0.35">
      <c r="L1359" t="str">
        <f ca="1">IFERROR(_xludf.XLOOKUP(C1359,CodePath_Defaults!A:A,CodePath_Defaults!D:D,""),IFERROR(_xludf.XLOOKUP(B1359,CodePath_Defaults!B:B,CodePath_Defaults!D:D,""),""))</f>
        <v/>
      </c>
      <c r="T1359" t="s">
        <v>801</v>
      </c>
    </row>
    <row r="1360" spans="12:20" x14ac:dyDescent="0.35">
      <c r="L1360" t="str">
        <f ca="1">IFERROR(_xludf.XLOOKUP(C1360,CodePath_Defaults!A:A,CodePath_Defaults!D:D,""),IFERROR(_xludf.XLOOKUP(B1360,CodePath_Defaults!B:B,CodePath_Defaults!D:D,""),""))</f>
        <v/>
      </c>
      <c r="T1360" t="s">
        <v>801</v>
      </c>
    </row>
    <row r="1361" spans="12:20" x14ac:dyDescent="0.35">
      <c r="L1361" t="str">
        <f ca="1">IFERROR(_xludf.XLOOKUP(C1361,CodePath_Defaults!A:A,CodePath_Defaults!D:D,""),IFERROR(_xludf.XLOOKUP(B1361,CodePath_Defaults!B:B,CodePath_Defaults!D:D,""),""))</f>
        <v/>
      </c>
      <c r="T1361" t="s">
        <v>801</v>
      </c>
    </row>
    <row r="1362" spans="12:20" x14ac:dyDescent="0.35">
      <c r="L1362" t="str">
        <f ca="1">IFERROR(_xludf.XLOOKUP(C1362,CodePath_Defaults!A:A,CodePath_Defaults!D:D,""),IFERROR(_xludf.XLOOKUP(B1362,CodePath_Defaults!B:B,CodePath_Defaults!D:D,""),""))</f>
        <v/>
      </c>
      <c r="T1362" t="s">
        <v>801</v>
      </c>
    </row>
    <row r="1363" spans="12:20" x14ac:dyDescent="0.35">
      <c r="L1363" t="str">
        <f ca="1">IFERROR(_xludf.XLOOKUP(C1363,CodePath_Defaults!A:A,CodePath_Defaults!D:D,""),IFERROR(_xludf.XLOOKUP(B1363,CodePath_Defaults!B:B,CodePath_Defaults!D:D,""),""))</f>
        <v/>
      </c>
      <c r="T1363" t="s">
        <v>801</v>
      </c>
    </row>
    <row r="1364" spans="12:20" x14ac:dyDescent="0.35">
      <c r="L1364" t="str">
        <f ca="1">IFERROR(_xludf.XLOOKUP(C1364,CodePath_Defaults!A:A,CodePath_Defaults!D:D,""),IFERROR(_xludf.XLOOKUP(B1364,CodePath_Defaults!B:B,CodePath_Defaults!D:D,""),""))</f>
        <v/>
      </c>
      <c r="T1364" t="s">
        <v>801</v>
      </c>
    </row>
    <row r="1365" spans="12:20" x14ac:dyDescent="0.35">
      <c r="L1365" t="str">
        <f ca="1">IFERROR(_xludf.XLOOKUP(C1365,CodePath_Defaults!A:A,CodePath_Defaults!D:D,""),IFERROR(_xludf.XLOOKUP(B1365,CodePath_Defaults!B:B,CodePath_Defaults!D:D,""),""))</f>
        <v/>
      </c>
      <c r="T1365" t="s">
        <v>801</v>
      </c>
    </row>
    <row r="1366" spans="12:20" x14ac:dyDescent="0.35">
      <c r="L1366" t="str">
        <f ca="1">IFERROR(_xludf.XLOOKUP(C1366,CodePath_Defaults!A:A,CodePath_Defaults!D:D,""),IFERROR(_xludf.XLOOKUP(B1366,CodePath_Defaults!B:B,CodePath_Defaults!D:D,""),""))</f>
        <v/>
      </c>
      <c r="T1366" t="s">
        <v>801</v>
      </c>
    </row>
    <row r="1367" spans="12:20" x14ac:dyDescent="0.35">
      <c r="L1367" t="str">
        <f ca="1">IFERROR(_xludf.XLOOKUP(C1367,CodePath_Defaults!A:A,CodePath_Defaults!D:D,""),IFERROR(_xludf.XLOOKUP(B1367,CodePath_Defaults!B:B,CodePath_Defaults!D:D,""),""))</f>
        <v/>
      </c>
      <c r="T1367" t="s">
        <v>801</v>
      </c>
    </row>
    <row r="1368" spans="12:20" x14ac:dyDescent="0.35">
      <c r="L1368" t="str">
        <f ca="1">IFERROR(_xludf.XLOOKUP(C1368,CodePath_Defaults!A:A,CodePath_Defaults!D:D,""),IFERROR(_xludf.XLOOKUP(B1368,CodePath_Defaults!B:B,CodePath_Defaults!D:D,""),""))</f>
        <v/>
      </c>
      <c r="T1368" t="s">
        <v>801</v>
      </c>
    </row>
    <row r="1369" spans="12:20" x14ac:dyDescent="0.35">
      <c r="L1369" t="str">
        <f ca="1">IFERROR(_xludf.XLOOKUP(C1369,CodePath_Defaults!A:A,CodePath_Defaults!D:D,""),IFERROR(_xludf.XLOOKUP(B1369,CodePath_Defaults!B:B,CodePath_Defaults!D:D,""),""))</f>
        <v/>
      </c>
      <c r="T1369" t="s">
        <v>801</v>
      </c>
    </row>
    <row r="1370" spans="12:20" x14ac:dyDescent="0.35">
      <c r="L1370" t="str">
        <f ca="1">IFERROR(_xludf.XLOOKUP(C1370,CodePath_Defaults!A:A,CodePath_Defaults!D:D,""),IFERROR(_xludf.XLOOKUP(B1370,CodePath_Defaults!B:B,CodePath_Defaults!D:D,""),""))</f>
        <v/>
      </c>
      <c r="T1370" t="s">
        <v>801</v>
      </c>
    </row>
    <row r="1371" spans="12:20" x14ac:dyDescent="0.35">
      <c r="L1371" t="str">
        <f ca="1">IFERROR(_xludf.XLOOKUP(C1371,CodePath_Defaults!A:A,CodePath_Defaults!D:D,""),IFERROR(_xludf.XLOOKUP(B1371,CodePath_Defaults!B:B,CodePath_Defaults!D:D,""),""))</f>
        <v/>
      </c>
      <c r="T1371" t="s">
        <v>801</v>
      </c>
    </row>
    <row r="1372" spans="12:20" x14ac:dyDescent="0.35">
      <c r="L1372" t="str">
        <f ca="1">IFERROR(_xludf.XLOOKUP(C1372,CodePath_Defaults!A:A,CodePath_Defaults!D:D,""),IFERROR(_xludf.XLOOKUP(B1372,CodePath_Defaults!B:B,CodePath_Defaults!D:D,""),""))</f>
        <v/>
      </c>
      <c r="T1372" t="s">
        <v>801</v>
      </c>
    </row>
    <row r="1373" spans="12:20" x14ac:dyDescent="0.35">
      <c r="L1373" t="str">
        <f ca="1">IFERROR(_xludf.XLOOKUP(C1373,CodePath_Defaults!A:A,CodePath_Defaults!D:D,""),IFERROR(_xludf.XLOOKUP(B1373,CodePath_Defaults!B:B,CodePath_Defaults!D:D,""),""))</f>
        <v/>
      </c>
      <c r="T1373" t="s">
        <v>801</v>
      </c>
    </row>
    <row r="1374" spans="12:20" x14ac:dyDescent="0.35">
      <c r="L1374" t="str">
        <f ca="1">IFERROR(_xludf.XLOOKUP(C1374,CodePath_Defaults!A:A,CodePath_Defaults!D:D,""),IFERROR(_xludf.XLOOKUP(B1374,CodePath_Defaults!B:B,CodePath_Defaults!D:D,""),""))</f>
        <v/>
      </c>
      <c r="T1374" t="s">
        <v>801</v>
      </c>
    </row>
    <row r="1375" spans="12:20" x14ac:dyDescent="0.35">
      <c r="L1375" t="str">
        <f ca="1">IFERROR(_xludf.XLOOKUP(C1375,CodePath_Defaults!A:A,CodePath_Defaults!D:D,""),IFERROR(_xludf.XLOOKUP(B1375,CodePath_Defaults!B:B,CodePath_Defaults!D:D,""),""))</f>
        <v/>
      </c>
      <c r="T1375" t="s">
        <v>801</v>
      </c>
    </row>
    <row r="1376" spans="12:20" x14ac:dyDescent="0.35">
      <c r="L1376" t="str">
        <f ca="1">IFERROR(_xludf.XLOOKUP(C1376,CodePath_Defaults!A:A,CodePath_Defaults!D:D,""),IFERROR(_xludf.XLOOKUP(B1376,CodePath_Defaults!B:B,CodePath_Defaults!D:D,""),""))</f>
        <v/>
      </c>
      <c r="T1376" t="s">
        <v>801</v>
      </c>
    </row>
    <row r="1377" spans="12:20" x14ac:dyDescent="0.35">
      <c r="L1377" t="str">
        <f ca="1">IFERROR(_xludf.XLOOKUP(C1377,CodePath_Defaults!A:A,CodePath_Defaults!D:D,""),IFERROR(_xludf.XLOOKUP(B1377,CodePath_Defaults!B:B,CodePath_Defaults!D:D,""),""))</f>
        <v/>
      </c>
      <c r="T1377" t="s">
        <v>801</v>
      </c>
    </row>
    <row r="1378" spans="12:20" x14ac:dyDescent="0.35">
      <c r="L1378" t="str">
        <f ca="1">IFERROR(_xludf.XLOOKUP(C1378,CodePath_Defaults!A:A,CodePath_Defaults!D:D,""),IFERROR(_xludf.XLOOKUP(B1378,CodePath_Defaults!B:B,CodePath_Defaults!D:D,""),""))</f>
        <v/>
      </c>
      <c r="T1378" t="s">
        <v>801</v>
      </c>
    </row>
    <row r="1379" spans="12:20" x14ac:dyDescent="0.35">
      <c r="L1379" t="str">
        <f ca="1">IFERROR(_xludf.XLOOKUP(C1379,CodePath_Defaults!A:A,CodePath_Defaults!D:D,""),IFERROR(_xludf.XLOOKUP(B1379,CodePath_Defaults!B:B,CodePath_Defaults!D:D,""),""))</f>
        <v/>
      </c>
      <c r="T1379" t="s">
        <v>801</v>
      </c>
    </row>
    <row r="1380" spans="12:20" x14ac:dyDescent="0.35">
      <c r="L1380" t="str">
        <f ca="1">IFERROR(_xludf.XLOOKUP(C1380,CodePath_Defaults!A:A,CodePath_Defaults!D:D,""),IFERROR(_xludf.XLOOKUP(B1380,CodePath_Defaults!B:B,CodePath_Defaults!D:D,""),""))</f>
        <v/>
      </c>
      <c r="T1380" t="s">
        <v>801</v>
      </c>
    </row>
    <row r="1381" spans="12:20" x14ac:dyDescent="0.35">
      <c r="L1381" t="str">
        <f ca="1">IFERROR(_xludf.XLOOKUP(C1381,CodePath_Defaults!A:A,CodePath_Defaults!D:D,""),IFERROR(_xludf.XLOOKUP(B1381,CodePath_Defaults!B:B,CodePath_Defaults!D:D,""),""))</f>
        <v/>
      </c>
      <c r="T1381" t="s">
        <v>801</v>
      </c>
    </row>
    <row r="1382" spans="12:20" x14ac:dyDescent="0.35">
      <c r="L1382" t="str">
        <f ca="1">IFERROR(_xludf.XLOOKUP(C1382,CodePath_Defaults!A:A,CodePath_Defaults!D:D,""),IFERROR(_xludf.XLOOKUP(B1382,CodePath_Defaults!B:B,CodePath_Defaults!D:D,""),""))</f>
        <v/>
      </c>
      <c r="T1382" t="s">
        <v>801</v>
      </c>
    </row>
    <row r="1383" spans="12:20" x14ac:dyDescent="0.35">
      <c r="L1383" t="str">
        <f ca="1">IFERROR(_xludf.XLOOKUP(C1383,CodePath_Defaults!A:A,CodePath_Defaults!D:D,""),IFERROR(_xludf.XLOOKUP(B1383,CodePath_Defaults!B:B,CodePath_Defaults!D:D,""),""))</f>
        <v/>
      </c>
      <c r="T1383" t="s">
        <v>801</v>
      </c>
    </row>
    <row r="1384" spans="12:20" x14ac:dyDescent="0.35">
      <c r="L1384" t="str">
        <f ca="1">IFERROR(_xludf.XLOOKUP(C1384,CodePath_Defaults!A:A,CodePath_Defaults!D:D,""),IFERROR(_xludf.XLOOKUP(B1384,CodePath_Defaults!B:B,CodePath_Defaults!D:D,""),""))</f>
        <v/>
      </c>
      <c r="T1384" t="s">
        <v>801</v>
      </c>
    </row>
    <row r="1385" spans="12:20" x14ac:dyDescent="0.35">
      <c r="L1385" t="str">
        <f ca="1">IFERROR(_xludf.XLOOKUP(C1385,CodePath_Defaults!A:A,CodePath_Defaults!D:D,""),IFERROR(_xludf.XLOOKUP(B1385,CodePath_Defaults!B:B,CodePath_Defaults!D:D,""),""))</f>
        <v/>
      </c>
      <c r="T1385" t="s">
        <v>801</v>
      </c>
    </row>
    <row r="1386" spans="12:20" x14ac:dyDescent="0.35">
      <c r="L1386" t="str">
        <f ca="1">IFERROR(_xludf.XLOOKUP(C1386,CodePath_Defaults!A:A,CodePath_Defaults!D:D,""),IFERROR(_xludf.XLOOKUP(B1386,CodePath_Defaults!B:B,CodePath_Defaults!D:D,""),""))</f>
        <v/>
      </c>
      <c r="T1386" t="s">
        <v>801</v>
      </c>
    </row>
    <row r="1387" spans="12:20" x14ac:dyDescent="0.35">
      <c r="L1387" t="str">
        <f ca="1">IFERROR(_xludf.XLOOKUP(C1387,CodePath_Defaults!A:A,CodePath_Defaults!D:D,""),IFERROR(_xludf.XLOOKUP(B1387,CodePath_Defaults!B:B,CodePath_Defaults!D:D,""),""))</f>
        <v/>
      </c>
      <c r="T1387" t="s">
        <v>801</v>
      </c>
    </row>
    <row r="1388" spans="12:20" x14ac:dyDescent="0.35">
      <c r="L1388" t="str">
        <f ca="1">IFERROR(_xludf.XLOOKUP(C1388,CodePath_Defaults!A:A,CodePath_Defaults!D:D,""),IFERROR(_xludf.XLOOKUP(B1388,CodePath_Defaults!B:B,CodePath_Defaults!D:D,""),""))</f>
        <v/>
      </c>
      <c r="T1388" t="s">
        <v>801</v>
      </c>
    </row>
    <row r="1389" spans="12:20" x14ac:dyDescent="0.35">
      <c r="L1389" t="str">
        <f ca="1">IFERROR(_xludf.XLOOKUP(C1389,CodePath_Defaults!A:A,CodePath_Defaults!D:D,""),IFERROR(_xludf.XLOOKUP(B1389,CodePath_Defaults!B:B,CodePath_Defaults!D:D,""),""))</f>
        <v/>
      </c>
      <c r="T1389" t="s">
        <v>801</v>
      </c>
    </row>
    <row r="1390" spans="12:20" x14ac:dyDescent="0.35">
      <c r="L1390" t="str">
        <f ca="1">IFERROR(_xludf.XLOOKUP(C1390,CodePath_Defaults!A:A,CodePath_Defaults!D:D,""),IFERROR(_xludf.XLOOKUP(B1390,CodePath_Defaults!B:B,CodePath_Defaults!D:D,""),""))</f>
        <v/>
      </c>
      <c r="T1390" t="s">
        <v>801</v>
      </c>
    </row>
    <row r="1391" spans="12:20" x14ac:dyDescent="0.35">
      <c r="L1391" t="str">
        <f ca="1">IFERROR(_xludf.XLOOKUP(C1391,CodePath_Defaults!A:A,CodePath_Defaults!D:D,""),IFERROR(_xludf.XLOOKUP(B1391,CodePath_Defaults!B:B,CodePath_Defaults!D:D,""),""))</f>
        <v/>
      </c>
      <c r="T1391" t="s">
        <v>801</v>
      </c>
    </row>
    <row r="1392" spans="12:20" x14ac:dyDescent="0.35">
      <c r="L1392" t="str">
        <f ca="1">IFERROR(_xludf.XLOOKUP(C1392,CodePath_Defaults!A:A,CodePath_Defaults!D:D,""),IFERROR(_xludf.XLOOKUP(B1392,CodePath_Defaults!B:B,CodePath_Defaults!D:D,""),""))</f>
        <v/>
      </c>
      <c r="T1392" t="s">
        <v>801</v>
      </c>
    </row>
    <row r="1393" spans="12:20" x14ac:dyDescent="0.35">
      <c r="L1393" t="str">
        <f ca="1">IFERROR(_xludf.XLOOKUP(C1393,CodePath_Defaults!A:A,CodePath_Defaults!D:D,""),IFERROR(_xludf.XLOOKUP(B1393,CodePath_Defaults!B:B,CodePath_Defaults!D:D,""),""))</f>
        <v/>
      </c>
      <c r="T1393" t="s">
        <v>801</v>
      </c>
    </row>
    <row r="1394" spans="12:20" x14ac:dyDescent="0.35">
      <c r="L1394" t="str">
        <f ca="1">IFERROR(_xludf.XLOOKUP(C1394,CodePath_Defaults!A:A,CodePath_Defaults!D:D,""),IFERROR(_xludf.XLOOKUP(B1394,CodePath_Defaults!B:B,CodePath_Defaults!D:D,""),""))</f>
        <v/>
      </c>
      <c r="T1394" t="s">
        <v>801</v>
      </c>
    </row>
    <row r="1395" spans="12:20" x14ac:dyDescent="0.35">
      <c r="L1395" t="str">
        <f ca="1">IFERROR(_xludf.XLOOKUP(C1395,CodePath_Defaults!A:A,CodePath_Defaults!D:D,""),IFERROR(_xludf.XLOOKUP(B1395,CodePath_Defaults!B:B,CodePath_Defaults!D:D,""),""))</f>
        <v/>
      </c>
      <c r="T1395" t="s">
        <v>801</v>
      </c>
    </row>
    <row r="1396" spans="12:20" x14ac:dyDescent="0.35">
      <c r="L1396" t="str">
        <f ca="1">IFERROR(_xludf.XLOOKUP(C1396,CodePath_Defaults!A:A,CodePath_Defaults!D:D,""),IFERROR(_xludf.XLOOKUP(B1396,CodePath_Defaults!B:B,CodePath_Defaults!D:D,""),""))</f>
        <v/>
      </c>
      <c r="T1396" t="s">
        <v>801</v>
      </c>
    </row>
    <row r="1397" spans="12:20" x14ac:dyDescent="0.35">
      <c r="L1397" t="str">
        <f ca="1">IFERROR(_xludf.XLOOKUP(C1397,CodePath_Defaults!A:A,CodePath_Defaults!D:D,""),IFERROR(_xludf.XLOOKUP(B1397,CodePath_Defaults!B:B,CodePath_Defaults!D:D,""),""))</f>
        <v/>
      </c>
      <c r="T1397" t="s">
        <v>801</v>
      </c>
    </row>
    <row r="1398" spans="12:20" x14ac:dyDescent="0.35">
      <c r="L1398" t="str">
        <f ca="1">IFERROR(_xludf.XLOOKUP(C1398,CodePath_Defaults!A:A,CodePath_Defaults!D:D,""),IFERROR(_xludf.XLOOKUP(B1398,CodePath_Defaults!B:B,CodePath_Defaults!D:D,""),""))</f>
        <v/>
      </c>
      <c r="T1398" t="s">
        <v>801</v>
      </c>
    </row>
    <row r="1399" spans="12:20" x14ac:dyDescent="0.35">
      <c r="L1399" t="str">
        <f ca="1">IFERROR(_xludf.XLOOKUP(C1399,CodePath_Defaults!A:A,CodePath_Defaults!D:D,""),IFERROR(_xludf.XLOOKUP(B1399,CodePath_Defaults!B:B,CodePath_Defaults!D:D,""),""))</f>
        <v/>
      </c>
      <c r="T1399" t="s">
        <v>801</v>
      </c>
    </row>
    <row r="1400" spans="12:20" x14ac:dyDescent="0.35">
      <c r="L1400" t="str">
        <f ca="1">IFERROR(_xludf.XLOOKUP(C1400,CodePath_Defaults!A:A,CodePath_Defaults!D:D,""),IFERROR(_xludf.XLOOKUP(B1400,CodePath_Defaults!B:B,CodePath_Defaults!D:D,""),""))</f>
        <v/>
      </c>
      <c r="T1400" t="s">
        <v>801</v>
      </c>
    </row>
    <row r="1401" spans="12:20" x14ac:dyDescent="0.35">
      <c r="L1401" t="str">
        <f ca="1">IFERROR(_xludf.XLOOKUP(C1401,CodePath_Defaults!A:A,CodePath_Defaults!D:D,""),IFERROR(_xludf.XLOOKUP(B1401,CodePath_Defaults!B:B,CodePath_Defaults!D:D,""),""))</f>
        <v/>
      </c>
      <c r="T1401" t="s">
        <v>801</v>
      </c>
    </row>
    <row r="1402" spans="12:20" x14ac:dyDescent="0.35">
      <c r="L1402" t="str">
        <f ca="1">IFERROR(_xludf.XLOOKUP(C1402,CodePath_Defaults!A:A,CodePath_Defaults!D:D,""),IFERROR(_xludf.XLOOKUP(B1402,CodePath_Defaults!B:B,CodePath_Defaults!D:D,""),""))</f>
        <v/>
      </c>
      <c r="T1402" t="s">
        <v>801</v>
      </c>
    </row>
    <row r="1403" spans="12:20" x14ac:dyDescent="0.35">
      <c r="L1403" t="str">
        <f ca="1">IFERROR(_xludf.XLOOKUP(C1403,CodePath_Defaults!A:A,CodePath_Defaults!D:D,""),IFERROR(_xludf.XLOOKUP(B1403,CodePath_Defaults!B:B,CodePath_Defaults!D:D,""),""))</f>
        <v/>
      </c>
      <c r="T1403" t="s">
        <v>801</v>
      </c>
    </row>
    <row r="1404" spans="12:20" x14ac:dyDescent="0.35">
      <c r="L1404" t="str">
        <f ca="1">IFERROR(_xludf.XLOOKUP(C1404,CodePath_Defaults!A:A,CodePath_Defaults!D:D,""),IFERROR(_xludf.XLOOKUP(B1404,CodePath_Defaults!B:B,CodePath_Defaults!D:D,""),""))</f>
        <v/>
      </c>
      <c r="T1404" t="s">
        <v>801</v>
      </c>
    </row>
    <row r="1405" spans="12:20" x14ac:dyDescent="0.35">
      <c r="L1405" t="str">
        <f ca="1">IFERROR(_xludf.XLOOKUP(C1405,CodePath_Defaults!A:A,CodePath_Defaults!D:D,""),IFERROR(_xludf.XLOOKUP(B1405,CodePath_Defaults!B:B,CodePath_Defaults!D:D,""),""))</f>
        <v/>
      </c>
      <c r="T1405" t="s">
        <v>801</v>
      </c>
    </row>
    <row r="1406" spans="12:20" x14ac:dyDescent="0.35">
      <c r="L1406" t="str">
        <f ca="1">IFERROR(_xludf.XLOOKUP(C1406,CodePath_Defaults!A:A,CodePath_Defaults!D:D,""),IFERROR(_xludf.XLOOKUP(B1406,CodePath_Defaults!B:B,CodePath_Defaults!D:D,""),""))</f>
        <v/>
      </c>
      <c r="T1406" t="s">
        <v>801</v>
      </c>
    </row>
    <row r="1407" spans="12:20" x14ac:dyDescent="0.35">
      <c r="L1407" t="str">
        <f ca="1">IFERROR(_xludf.XLOOKUP(C1407,CodePath_Defaults!A:A,CodePath_Defaults!D:D,""),IFERROR(_xludf.XLOOKUP(B1407,CodePath_Defaults!B:B,CodePath_Defaults!D:D,""),""))</f>
        <v/>
      </c>
      <c r="T1407" t="s">
        <v>801</v>
      </c>
    </row>
    <row r="1408" spans="12:20" x14ac:dyDescent="0.35">
      <c r="L1408" t="str">
        <f ca="1">IFERROR(_xludf.XLOOKUP(C1408,CodePath_Defaults!A:A,CodePath_Defaults!D:D,""),IFERROR(_xludf.XLOOKUP(B1408,CodePath_Defaults!B:B,CodePath_Defaults!D:D,""),""))</f>
        <v/>
      </c>
      <c r="T1408" t="s">
        <v>801</v>
      </c>
    </row>
    <row r="1409" spans="12:20" x14ac:dyDescent="0.35">
      <c r="L1409" t="str">
        <f ca="1">IFERROR(_xludf.XLOOKUP(C1409,CodePath_Defaults!A:A,CodePath_Defaults!D:D,""),IFERROR(_xludf.XLOOKUP(B1409,CodePath_Defaults!B:B,CodePath_Defaults!D:D,""),""))</f>
        <v/>
      </c>
      <c r="T1409" t="s">
        <v>801</v>
      </c>
    </row>
    <row r="1410" spans="12:20" x14ac:dyDescent="0.35">
      <c r="L1410" t="str">
        <f ca="1">IFERROR(_xludf.XLOOKUP(C1410,CodePath_Defaults!A:A,CodePath_Defaults!D:D,""),IFERROR(_xludf.XLOOKUP(B1410,CodePath_Defaults!B:B,CodePath_Defaults!D:D,""),""))</f>
        <v/>
      </c>
      <c r="T1410" t="s">
        <v>801</v>
      </c>
    </row>
    <row r="1411" spans="12:20" x14ac:dyDescent="0.35">
      <c r="L1411" t="str">
        <f ca="1">IFERROR(_xludf.XLOOKUP(C1411,CodePath_Defaults!A:A,CodePath_Defaults!D:D,""),IFERROR(_xludf.XLOOKUP(B1411,CodePath_Defaults!B:B,CodePath_Defaults!D:D,""),""))</f>
        <v/>
      </c>
      <c r="T1411" t="s">
        <v>801</v>
      </c>
    </row>
    <row r="1412" spans="12:20" x14ac:dyDescent="0.35">
      <c r="L1412" t="str">
        <f ca="1">IFERROR(_xludf.XLOOKUP(C1412,CodePath_Defaults!A:A,CodePath_Defaults!D:D,""),IFERROR(_xludf.XLOOKUP(B1412,CodePath_Defaults!B:B,CodePath_Defaults!D:D,""),""))</f>
        <v/>
      </c>
      <c r="T1412" t="s">
        <v>801</v>
      </c>
    </row>
    <row r="1413" spans="12:20" x14ac:dyDescent="0.35">
      <c r="L1413" t="str">
        <f ca="1">IFERROR(_xludf.XLOOKUP(C1413,CodePath_Defaults!A:A,CodePath_Defaults!D:D,""),IFERROR(_xludf.XLOOKUP(B1413,CodePath_Defaults!B:B,CodePath_Defaults!D:D,""),""))</f>
        <v/>
      </c>
      <c r="T1413" t="s">
        <v>801</v>
      </c>
    </row>
    <row r="1414" spans="12:20" x14ac:dyDescent="0.35">
      <c r="L1414" t="str">
        <f ca="1">IFERROR(_xludf.XLOOKUP(C1414,CodePath_Defaults!A:A,CodePath_Defaults!D:D,""),IFERROR(_xludf.XLOOKUP(B1414,CodePath_Defaults!B:B,CodePath_Defaults!D:D,""),""))</f>
        <v/>
      </c>
      <c r="T1414" t="s">
        <v>801</v>
      </c>
    </row>
    <row r="1415" spans="12:20" x14ac:dyDescent="0.35">
      <c r="L1415" t="str">
        <f ca="1">IFERROR(_xludf.XLOOKUP(C1415,CodePath_Defaults!A:A,CodePath_Defaults!D:D,""),IFERROR(_xludf.XLOOKUP(B1415,CodePath_Defaults!B:B,CodePath_Defaults!D:D,""),""))</f>
        <v/>
      </c>
      <c r="T1415" t="s">
        <v>801</v>
      </c>
    </row>
    <row r="1416" spans="12:20" x14ac:dyDescent="0.35">
      <c r="L1416" t="str">
        <f ca="1">IFERROR(_xludf.XLOOKUP(C1416,CodePath_Defaults!A:A,CodePath_Defaults!D:D,""),IFERROR(_xludf.XLOOKUP(B1416,CodePath_Defaults!B:B,CodePath_Defaults!D:D,""),""))</f>
        <v/>
      </c>
      <c r="T1416" t="s">
        <v>801</v>
      </c>
    </row>
    <row r="1417" spans="12:20" x14ac:dyDescent="0.35">
      <c r="L1417" t="str">
        <f ca="1">IFERROR(_xludf.XLOOKUP(C1417,CodePath_Defaults!A:A,CodePath_Defaults!D:D,""),IFERROR(_xludf.XLOOKUP(B1417,CodePath_Defaults!B:B,CodePath_Defaults!D:D,""),""))</f>
        <v/>
      </c>
      <c r="T1417" t="s">
        <v>801</v>
      </c>
    </row>
    <row r="1418" spans="12:20" x14ac:dyDescent="0.35">
      <c r="L1418" t="str">
        <f ca="1">IFERROR(_xludf.XLOOKUP(C1418,CodePath_Defaults!A:A,CodePath_Defaults!D:D,""),IFERROR(_xludf.XLOOKUP(B1418,CodePath_Defaults!B:B,CodePath_Defaults!D:D,""),""))</f>
        <v/>
      </c>
      <c r="T1418" t="s">
        <v>801</v>
      </c>
    </row>
    <row r="1419" spans="12:20" x14ac:dyDescent="0.35">
      <c r="L1419" t="str">
        <f ca="1">IFERROR(_xludf.XLOOKUP(C1419,CodePath_Defaults!A:A,CodePath_Defaults!D:D,""),IFERROR(_xludf.XLOOKUP(B1419,CodePath_Defaults!B:B,CodePath_Defaults!D:D,""),""))</f>
        <v/>
      </c>
      <c r="T1419" t="s">
        <v>801</v>
      </c>
    </row>
    <row r="1420" spans="12:20" x14ac:dyDescent="0.35">
      <c r="L1420" t="str">
        <f ca="1">IFERROR(_xludf.XLOOKUP(C1420,CodePath_Defaults!A:A,CodePath_Defaults!D:D,""),IFERROR(_xludf.XLOOKUP(B1420,CodePath_Defaults!B:B,CodePath_Defaults!D:D,""),""))</f>
        <v/>
      </c>
      <c r="T1420" t="s">
        <v>801</v>
      </c>
    </row>
    <row r="1421" spans="12:20" x14ac:dyDescent="0.35">
      <c r="L1421" t="str">
        <f ca="1">IFERROR(_xludf.XLOOKUP(C1421,CodePath_Defaults!A:A,CodePath_Defaults!D:D,""),IFERROR(_xludf.XLOOKUP(B1421,CodePath_Defaults!B:B,CodePath_Defaults!D:D,""),""))</f>
        <v/>
      </c>
      <c r="T1421" t="s">
        <v>801</v>
      </c>
    </row>
    <row r="1422" spans="12:20" x14ac:dyDescent="0.35">
      <c r="L1422" t="str">
        <f ca="1">IFERROR(_xludf.XLOOKUP(C1422,CodePath_Defaults!A:A,CodePath_Defaults!D:D,""),IFERROR(_xludf.XLOOKUP(B1422,CodePath_Defaults!B:B,CodePath_Defaults!D:D,""),""))</f>
        <v/>
      </c>
      <c r="T1422" t="s">
        <v>801</v>
      </c>
    </row>
    <row r="1423" spans="12:20" x14ac:dyDescent="0.35">
      <c r="L1423" t="str">
        <f ca="1">IFERROR(_xludf.XLOOKUP(C1423,CodePath_Defaults!A:A,CodePath_Defaults!D:D,""),IFERROR(_xludf.XLOOKUP(B1423,CodePath_Defaults!B:B,CodePath_Defaults!D:D,""),""))</f>
        <v/>
      </c>
      <c r="T1423" t="s">
        <v>801</v>
      </c>
    </row>
    <row r="1424" spans="12:20" x14ac:dyDescent="0.35">
      <c r="L1424" t="str">
        <f ca="1">IFERROR(_xludf.XLOOKUP(C1424,CodePath_Defaults!A:A,CodePath_Defaults!D:D,""),IFERROR(_xludf.XLOOKUP(B1424,CodePath_Defaults!B:B,CodePath_Defaults!D:D,""),""))</f>
        <v/>
      </c>
      <c r="T1424" t="s">
        <v>801</v>
      </c>
    </row>
    <row r="1425" spans="12:20" x14ac:dyDescent="0.35">
      <c r="L1425" t="str">
        <f ca="1">IFERROR(_xludf.XLOOKUP(C1425,CodePath_Defaults!A:A,CodePath_Defaults!D:D,""),IFERROR(_xludf.XLOOKUP(B1425,CodePath_Defaults!B:B,CodePath_Defaults!D:D,""),""))</f>
        <v/>
      </c>
      <c r="T1425" t="s">
        <v>801</v>
      </c>
    </row>
    <row r="1426" spans="12:20" x14ac:dyDescent="0.35">
      <c r="L1426" t="str">
        <f ca="1">IFERROR(_xludf.XLOOKUP(C1426,CodePath_Defaults!A:A,CodePath_Defaults!D:D,""),IFERROR(_xludf.XLOOKUP(B1426,CodePath_Defaults!B:B,CodePath_Defaults!D:D,""),""))</f>
        <v/>
      </c>
      <c r="T1426" t="s">
        <v>801</v>
      </c>
    </row>
    <row r="1427" spans="12:20" x14ac:dyDescent="0.35">
      <c r="L1427" t="str">
        <f ca="1">IFERROR(_xludf.XLOOKUP(C1427,CodePath_Defaults!A:A,CodePath_Defaults!D:D,""),IFERROR(_xludf.XLOOKUP(B1427,CodePath_Defaults!B:B,CodePath_Defaults!D:D,""),""))</f>
        <v/>
      </c>
      <c r="T1427" t="s">
        <v>801</v>
      </c>
    </row>
    <row r="1428" spans="12:20" x14ac:dyDescent="0.35">
      <c r="L1428" t="str">
        <f ca="1">IFERROR(_xludf.XLOOKUP(C1428,CodePath_Defaults!A:A,CodePath_Defaults!D:D,""),IFERROR(_xludf.XLOOKUP(B1428,CodePath_Defaults!B:B,CodePath_Defaults!D:D,""),""))</f>
        <v/>
      </c>
      <c r="T1428" t="s">
        <v>801</v>
      </c>
    </row>
    <row r="1429" spans="12:20" x14ac:dyDescent="0.35">
      <c r="L1429" t="str">
        <f ca="1">IFERROR(_xludf.XLOOKUP(C1429,CodePath_Defaults!A:A,CodePath_Defaults!D:D,""),IFERROR(_xludf.XLOOKUP(B1429,CodePath_Defaults!B:B,CodePath_Defaults!D:D,""),""))</f>
        <v/>
      </c>
      <c r="T1429" t="s">
        <v>801</v>
      </c>
    </row>
    <row r="1430" spans="12:20" x14ac:dyDescent="0.35">
      <c r="L1430" t="str">
        <f ca="1">IFERROR(_xludf.XLOOKUP(C1430,CodePath_Defaults!A:A,CodePath_Defaults!D:D,""),IFERROR(_xludf.XLOOKUP(B1430,CodePath_Defaults!B:B,CodePath_Defaults!D:D,""),""))</f>
        <v/>
      </c>
      <c r="T1430" t="s">
        <v>801</v>
      </c>
    </row>
    <row r="1431" spans="12:20" x14ac:dyDescent="0.35">
      <c r="L1431" t="str">
        <f ca="1">IFERROR(_xludf.XLOOKUP(C1431,CodePath_Defaults!A:A,CodePath_Defaults!D:D,""),IFERROR(_xludf.XLOOKUP(B1431,CodePath_Defaults!B:B,CodePath_Defaults!D:D,""),""))</f>
        <v/>
      </c>
      <c r="T1431" t="s">
        <v>801</v>
      </c>
    </row>
    <row r="1432" spans="12:20" x14ac:dyDescent="0.35">
      <c r="L1432" t="str">
        <f ca="1">IFERROR(_xludf.XLOOKUP(C1432,CodePath_Defaults!A:A,CodePath_Defaults!D:D,""),IFERROR(_xludf.XLOOKUP(B1432,CodePath_Defaults!B:B,CodePath_Defaults!D:D,""),""))</f>
        <v/>
      </c>
      <c r="T1432" t="s">
        <v>801</v>
      </c>
    </row>
    <row r="1433" spans="12:20" x14ac:dyDescent="0.35">
      <c r="L1433" t="str">
        <f ca="1">IFERROR(_xludf.XLOOKUP(C1433,CodePath_Defaults!A:A,CodePath_Defaults!D:D,""),IFERROR(_xludf.XLOOKUP(B1433,CodePath_Defaults!B:B,CodePath_Defaults!D:D,""),""))</f>
        <v/>
      </c>
      <c r="T1433" t="s">
        <v>801</v>
      </c>
    </row>
    <row r="1434" spans="12:20" x14ac:dyDescent="0.35">
      <c r="L1434" t="str">
        <f ca="1">IFERROR(_xludf.XLOOKUP(C1434,CodePath_Defaults!A:A,CodePath_Defaults!D:D,""),IFERROR(_xludf.XLOOKUP(B1434,CodePath_Defaults!B:B,CodePath_Defaults!D:D,""),""))</f>
        <v/>
      </c>
      <c r="T1434" t="s">
        <v>801</v>
      </c>
    </row>
    <row r="1435" spans="12:20" x14ac:dyDescent="0.35">
      <c r="L1435" t="str">
        <f ca="1">IFERROR(_xludf.XLOOKUP(C1435,CodePath_Defaults!A:A,CodePath_Defaults!D:D,""),IFERROR(_xludf.XLOOKUP(B1435,CodePath_Defaults!B:B,CodePath_Defaults!D:D,""),""))</f>
        <v/>
      </c>
      <c r="T1435" t="s">
        <v>801</v>
      </c>
    </row>
    <row r="1436" spans="12:20" x14ac:dyDescent="0.35">
      <c r="L1436" t="str">
        <f ca="1">IFERROR(_xludf.XLOOKUP(C1436,CodePath_Defaults!A:A,CodePath_Defaults!D:D,""),IFERROR(_xludf.XLOOKUP(B1436,CodePath_Defaults!B:B,CodePath_Defaults!D:D,""),""))</f>
        <v/>
      </c>
      <c r="T1436" t="s">
        <v>801</v>
      </c>
    </row>
    <row r="1437" spans="12:20" x14ac:dyDescent="0.35">
      <c r="L1437" t="str">
        <f ca="1">IFERROR(_xludf.XLOOKUP(C1437,CodePath_Defaults!A:A,CodePath_Defaults!D:D,""),IFERROR(_xludf.XLOOKUP(B1437,CodePath_Defaults!B:B,CodePath_Defaults!D:D,""),""))</f>
        <v/>
      </c>
      <c r="T1437" t="s">
        <v>801</v>
      </c>
    </row>
    <row r="1438" spans="12:20" x14ac:dyDescent="0.35">
      <c r="L1438" t="str">
        <f ca="1">IFERROR(_xludf.XLOOKUP(C1438,CodePath_Defaults!A:A,CodePath_Defaults!D:D,""),IFERROR(_xludf.XLOOKUP(B1438,CodePath_Defaults!B:B,CodePath_Defaults!D:D,""),""))</f>
        <v/>
      </c>
      <c r="T1438" t="s">
        <v>801</v>
      </c>
    </row>
    <row r="1439" spans="12:20" x14ac:dyDescent="0.35">
      <c r="L1439" t="str">
        <f ca="1">IFERROR(_xludf.XLOOKUP(C1439,CodePath_Defaults!A:A,CodePath_Defaults!D:D,""),IFERROR(_xludf.XLOOKUP(B1439,CodePath_Defaults!B:B,CodePath_Defaults!D:D,""),""))</f>
        <v/>
      </c>
      <c r="T1439" t="s">
        <v>801</v>
      </c>
    </row>
    <row r="1440" spans="12:20" x14ac:dyDescent="0.35">
      <c r="L1440" t="str">
        <f ca="1">IFERROR(_xludf.XLOOKUP(C1440,CodePath_Defaults!A:A,CodePath_Defaults!D:D,""),IFERROR(_xludf.XLOOKUP(B1440,CodePath_Defaults!B:B,CodePath_Defaults!D:D,""),""))</f>
        <v/>
      </c>
      <c r="T1440" t="s">
        <v>801</v>
      </c>
    </row>
    <row r="1441" spans="12:20" x14ac:dyDescent="0.35">
      <c r="L1441" t="str">
        <f ca="1">IFERROR(_xludf.XLOOKUP(C1441,CodePath_Defaults!A:A,CodePath_Defaults!D:D,""),IFERROR(_xludf.XLOOKUP(B1441,CodePath_Defaults!B:B,CodePath_Defaults!D:D,""),""))</f>
        <v/>
      </c>
      <c r="T1441" t="s">
        <v>801</v>
      </c>
    </row>
    <row r="1442" spans="12:20" x14ac:dyDescent="0.35">
      <c r="L1442" t="str">
        <f ca="1">IFERROR(_xludf.XLOOKUP(C1442,CodePath_Defaults!A:A,CodePath_Defaults!D:D,""),IFERROR(_xludf.XLOOKUP(B1442,CodePath_Defaults!B:B,CodePath_Defaults!D:D,""),""))</f>
        <v/>
      </c>
      <c r="T1442" t="s">
        <v>801</v>
      </c>
    </row>
    <row r="1443" spans="12:20" x14ac:dyDescent="0.35">
      <c r="L1443" t="str">
        <f ca="1">IFERROR(_xludf.XLOOKUP(C1443,CodePath_Defaults!A:A,CodePath_Defaults!D:D,""),IFERROR(_xludf.XLOOKUP(B1443,CodePath_Defaults!B:B,CodePath_Defaults!D:D,""),""))</f>
        <v/>
      </c>
      <c r="T1443" t="s">
        <v>801</v>
      </c>
    </row>
    <row r="1444" spans="12:20" x14ac:dyDescent="0.35">
      <c r="L1444" t="str">
        <f ca="1">IFERROR(_xludf.XLOOKUP(C1444,CodePath_Defaults!A:A,CodePath_Defaults!D:D,""),IFERROR(_xludf.XLOOKUP(B1444,CodePath_Defaults!B:B,CodePath_Defaults!D:D,""),""))</f>
        <v/>
      </c>
      <c r="T1444" t="s">
        <v>801</v>
      </c>
    </row>
    <row r="1445" spans="12:20" x14ac:dyDescent="0.35">
      <c r="L1445" t="str">
        <f ca="1">IFERROR(_xludf.XLOOKUP(C1445,CodePath_Defaults!A:A,CodePath_Defaults!D:D,""),IFERROR(_xludf.XLOOKUP(B1445,CodePath_Defaults!B:B,CodePath_Defaults!D:D,""),""))</f>
        <v/>
      </c>
      <c r="T1445" t="s">
        <v>801</v>
      </c>
    </row>
    <row r="1446" spans="12:20" x14ac:dyDescent="0.35">
      <c r="L1446" t="str">
        <f ca="1">IFERROR(_xludf.XLOOKUP(C1446,CodePath_Defaults!A:A,CodePath_Defaults!D:D,""),IFERROR(_xludf.XLOOKUP(B1446,CodePath_Defaults!B:B,CodePath_Defaults!D:D,""),""))</f>
        <v/>
      </c>
      <c r="T1446" t="s">
        <v>801</v>
      </c>
    </row>
    <row r="1447" spans="12:20" x14ac:dyDescent="0.35">
      <c r="L1447" t="str">
        <f ca="1">IFERROR(_xludf.XLOOKUP(C1447,CodePath_Defaults!A:A,CodePath_Defaults!D:D,""),IFERROR(_xludf.XLOOKUP(B1447,CodePath_Defaults!B:B,CodePath_Defaults!D:D,""),""))</f>
        <v/>
      </c>
      <c r="T1447" t="s">
        <v>801</v>
      </c>
    </row>
    <row r="1448" spans="12:20" x14ac:dyDescent="0.35">
      <c r="L1448" t="str">
        <f ca="1">IFERROR(_xludf.XLOOKUP(C1448,CodePath_Defaults!A:A,CodePath_Defaults!D:D,""),IFERROR(_xludf.XLOOKUP(B1448,CodePath_Defaults!B:B,CodePath_Defaults!D:D,""),""))</f>
        <v/>
      </c>
      <c r="T1448" t="s">
        <v>801</v>
      </c>
    </row>
    <row r="1449" spans="12:20" x14ac:dyDescent="0.35">
      <c r="L1449" t="str">
        <f ca="1">IFERROR(_xludf.XLOOKUP(C1449,CodePath_Defaults!A:A,CodePath_Defaults!D:D,""),IFERROR(_xludf.XLOOKUP(B1449,CodePath_Defaults!B:B,CodePath_Defaults!D:D,""),""))</f>
        <v/>
      </c>
      <c r="T1449" t="s">
        <v>801</v>
      </c>
    </row>
    <row r="1450" spans="12:20" x14ac:dyDescent="0.35">
      <c r="L1450" t="str">
        <f ca="1">IFERROR(_xludf.XLOOKUP(C1450,CodePath_Defaults!A:A,CodePath_Defaults!D:D,""),IFERROR(_xludf.XLOOKUP(B1450,CodePath_Defaults!B:B,CodePath_Defaults!D:D,""),""))</f>
        <v/>
      </c>
      <c r="T1450" t="s">
        <v>801</v>
      </c>
    </row>
    <row r="1451" spans="12:20" x14ac:dyDescent="0.35">
      <c r="L1451" t="str">
        <f ca="1">IFERROR(_xludf.XLOOKUP(C1451,CodePath_Defaults!A:A,CodePath_Defaults!D:D,""),IFERROR(_xludf.XLOOKUP(B1451,CodePath_Defaults!B:B,CodePath_Defaults!D:D,""),""))</f>
        <v/>
      </c>
      <c r="T1451" t="s">
        <v>801</v>
      </c>
    </row>
    <row r="1452" spans="12:20" x14ac:dyDescent="0.35">
      <c r="L1452" t="str">
        <f ca="1">IFERROR(_xludf.XLOOKUP(C1452,CodePath_Defaults!A:A,CodePath_Defaults!D:D,""),IFERROR(_xludf.XLOOKUP(B1452,CodePath_Defaults!B:B,CodePath_Defaults!D:D,""),""))</f>
        <v/>
      </c>
      <c r="T1452" t="s">
        <v>801</v>
      </c>
    </row>
    <row r="1453" spans="12:20" x14ac:dyDescent="0.35">
      <c r="L1453" t="str">
        <f ca="1">IFERROR(_xludf.XLOOKUP(C1453,CodePath_Defaults!A:A,CodePath_Defaults!D:D,""),IFERROR(_xludf.XLOOKUP(B1453,CodePath_Defaults!B:B,CodePath_Defaults!D:D,""),""))</f>
        <v/>
      </c>
      <c r="T1453" t="s">
        <v>801</v>
      </c>
    </row>
    <row r="1454" spans="12:20" x14ac:dyDescent="0.35">
      <c r="L1454" t="str">
        <f ca="1">IFERROR(_xludf.XLOOKUP(C1454,CodePath_Defaults!A:A,CodePath_Defaults!D:D,""),IFERROR(_xludf.XLOOKUP(B1454,CodePath_Defaults!B:B,CodePath_Defaults!D:D,""),""))</f>
        <v/>
      </c>
      <c r="T1454" t="s">
        <v>801</v>
      </c>
    </row>
    <row r="1455" spans="12:20" x14ac:dyDescent="0.35">
      <c r="L1455" t="str">
        <f ca="1">IFERROR(_xludf.XLOOKUP(C1455,CodePath_Defaults!A:A,CodePath_Defaults!D:D,""),IFERROR(_xludf.XLOOKUP(B1455,CodePath_Defaults!B:B,CodePath_Defaults!D:D,""),""))</f>
        <v/>
      </c>
      <c r="T1455" t="s">
        <v>801</v>
      </c>
    </row>
    <row r="1456" spans="12:20" x14ac:dyDescent="0.35">
      <c r="L1456" t="str">
        <f ca="1">IFERROR(_xludf.XLOOKUP(C1456,CodePath_Defaults!A:A,CodePath_Defaults!D:D,""),IFERROR(_xludf.XLOOKUP(B1456,CodePath_Defaults!B:B,CodePath_Defaults!D:D,""),""))</f>
        <v/>
      </c>
      <c r="T1456" t="s">
        <v>801</v>
      </c>
    </row>
    <row r="1457" spans="12:20" x14ac:dyDescent="0.35">
      <c r="L1457" t="str">
        <f ca="1">IFERROR(_xludf.XLOOKUP(C1457,CodePath_Defaults!A:A,CodePath_Defaults!D:D,""),IFERROR(_xludf.XLOOKUP(B1457,CodePath_Defaults!B:B,CodePath_Defaults!D:D,""),""))</f>
        <v/>
      </c>
      <c r="T1457" t="s">
        <v>801</v>
      </c>
    </row>
    <row r="1458" spans="12:20" x14ac:dyDescent="0.35">
      <c r="L1458" t="str">
        <f ca="1">IFERROR(_xludf.XLOOKUP(C1458,CodePath_Defaults!A:A,CodePath_Defaults!D:D,""),IFERROR(_xludf.XLOOKUP(B1458,CodePath_Defaults!B:B,CodePath_Defaults!D:D,""),""))</f>
        <v/>
      </c>
      <c r="T1458" t="s">
        <v>801</v>
      </c>
    </row>
    <row r="1459" spans="12:20" x14ac:dyDescent="0.35">
      <c r="L1459" t="str">
        <f ca="1">IFERROR(_xludf.XLOOKUP(C1459,CodePath_Defaults!A:A,CodePath_Defaults!D:D,""),IFERROR(_xludf.XLOOKUP(B1459,CodePath_Defaults!B:B,CodePath_Defaults!D:D,""),""))</f>
        <v/>
      </c>
      <c r="T1459" t="s">
        <v>801</v>
      </c>
    </row>
    <row r="1460" spans="12:20" x14ac:dyDescent="0.35">
      <c r="L1460" t="str">
        <f ca="1">IFERROR(_xludf.XLOOKUP(C1460,CodePath_Defaults!A:A,CodePath_Defaults!D:D,""),IFERROR(_xludf.XLOOKUP(B1460,CodePath_Defaults!B:B,CodePath_Defaults!D:D,""),""))</f>
        <v/>
      </c>
      <c r="T1460" t="s">
        <v>801</v>
      </c>
    </row>
    <row r="1461" spans="12:20" x14ac:dyDescent="0.35">
      <c r="L1461" t="str">
        <f ca="1">IFERROR(_xludf.XLOOKUP(C1461,CodePath_Defaults!A:A,CodePath_Defaults!D:D,""),IFERROR(_xludf.XLOOKUP(B1461,CodePath_Defaults!B:B,CodePath_Defaults!D:D,""),""))</f>
        <v/>
      </c>
      <c r="T1461" t="s">
        <v>801</v>
      </c>
    </row>
    <row r="1462" spans="12:20" x14ac:dyDescent="0.35">
      <c r="L1462" t="str">
        <f ca="1">IFERROR(_xludf.XLOOKUP(C1462,CodePath_Defaults!A:A,CodePath_Defaults!D:D,""),IFERROR(_xludf.XLOOKUP(B1462,CodePath_Defaults!B:B,CodePath_Defaults!D:D,""),""))</f>
        <v/>
      </c>
      <c r="T1462" t="s">
        <v>801</v>
      </c>
    </row>
    <row r="1463" spans="12:20" x14ac:dyDescent="0.35">
      <c r="L1463" t="str">
        <f ca="1">IFERROR(_xludf.XLOOKUP(C1463,CodePath_Defaults!A:A,CodePath_Defaults!D:D,""),IFERROR(_xludf.XLOOKUP(B1463,CodePath_Defaults!B:B,CodePath_Defaults!D:D,""),""))</f>
        <v/>
      </c>
      <c r="T1463" t="s">
        <v>801</v>
      </c>
    </row>
    <row r="1464" spans="12:20" x14ac:dyDescent="0.35">
      <c r="L1464" t="str">
        <f ca="1">IFERROR(_xludf.XLOOKUP(C1464,CodePath_Defaults!A:A,CodePath_Defaults!D:D,""),IFERROR(_xludf.XLOOKUP(B1464,CodePath_Defaults!B:B,CodePath_Defaults!D:D,""),""))</f>
        <v/>
      </c>
      <c r="T1464" t="s">
        <v>801</v>
      </c>
    </row>
    <row r="1465" spans="12:20" x14ac:dyDescent="0.35">
      <c r="L1465" t="str">
        <f ca="1">IFERROR(_xludf.XLOOKUP(C1465,CodePath_Defaults!A:A,CodePath_Defaults!D:D,""),IFERROR(_xludf.XLOOKUP(B1465,CodePath_Defaults!B:B,CodePath_Defaults!D:D,""),""))</f>
        <v/>
      </c>
      <c r="T1465" t="s">
        <v>801</v>
      </c>
    </row>
    <row r="1466" spans="12:20" x14ac:dyDescent="0.35">
      <c r="L1466" t="str">
        <f ca="1">IFERROR(_xludf.XLOOKUP(C1466,CodePath_Defaults!A:A,CodePath_Defaults!D:D,""),IFERROR(_xludf.XLOOKUP(B1466,CodePath_Defaults!B:B,CodePath_Defaults!D:D,""),""))</f>
        <v/>
      </c>
      <c r="T1466" t="s">
        <v>801</v>
      </c>
    </row>
    <row r="1467" spans="12:20" x14ac:dyDescent="0.35">
      <c r="L1467" t="str">
        <f ca="1">IFERROR(_xludf.XLOOKUP(C1467,CodePath_Defaults!A:A,CodePath_Defaults!D:D,""),IFERROR(_xludf.XLOOKUP(B1467,CodePath_Defaults!B:B,CodePath_Defaults!D:D,""),""))</f>
        <v/>
      </c>
      <c r="T1467" t="s">
        <v>801</v>
      </c>
    </row>
    <row r="1468" spans="12:20" x14ac:dyDescent="0.35">
      <c r="L1468" t="str">
        <f ca="1">IFERROR(_xludf.XLOOKUP(C1468,CodePath_Defaults!A:A,CodePath_Defaults!D:D,""),IFERROR(_xludf.XLOOKUP(B1468,CodePath_Defaults!B:B,CodePath_Defaults!D:D,""),""))</f>
        <v/>
      </c>
      <c r="T1468" t="s">
        <v>801</v>
      </c>
    </row>
    <row r="1469" spans="12:20" x14ac:dyDescent="0.35">
      <c r="L1469" t="str">
        <f ca="1">IFERROR(_xludf.XLOOKUP(C1469,CodePath_Defaults!A:A,CodePath_Defaults!D:D,""),IFERROR(_xludf.XLOOKUP(B1469,CodePath_Defaults!B:B,CodePath_Defaults!D:D,""),""))</f>
        <v/>
      </c>
      <c r="T1469" t="s">
        <v>801</v>
      </c>
    </row>
    <row r="1470" spans="12:20" x14ac:dyDescent="0.35">
      <c r="L1470" t="str">
        <f ca="1">IFERROR(_xludf.XLOOKUP(C1470,CodePath_Defaults!A:A,CodePath_Defaults!D:D,""),IFERROR(_xludf.XLOOKUP(B1470,CodePath_Defaults!B:B,CodePath_Defaults!D:D,""),""))</f>
        <v/>
      </c>
      <c r="T1470" t="s">
        <v>801</v>
      </c>
    </row>
    <row r="1471" spans="12:20" x14ac:dyDescent="0.35">
      <c r="L1471" t="str">
        <f ca="1">IFERROR(_xludf.XLOOKUP(C1471,CodePath_Defaults!A:A,CodePath_Defaults!D:D,""),IFERROR(_xludf.XLOOKUP(B1471,CodePath_Defaults!B:B,CodePath_Defaults!D:D,""),""))</f>
        <v/>
      </c>
      <c r="T1471" t="s">
        <v>801</v>
      </c>
    </row>
    <row r="1472" spans="12:20" x14ac:dyDescent="0.35">
      <c r="L1472" t="str">
        <f ca="1">IFERROR(_xludf.XLOOKUP(C1472,CodePath_Defaults!A:A,CodePath_Defaults!D:D,""),IFERROR(_xludf.XLOOKUP(B1472,CodePath_Defaults!B:B,CodePath_Defaults!D:D,""),""))</f>
        <v/>
      </c>
      <c r="T1472" t="s">
        <v>801</v>
      </c>
    </row>
    <row r="1473" spans="12:20" x14ac:dyDescent="0.35">
      <c r="L1473" t="str">
        <f ca="1">IFERROR(_xludf.XLOOKUP(C1473,CodePath_Defaults!A:A,CodePath_Defaults!D:D,""),IFERROR(_xludf.XLOOKUP(B1473,CodePath_Defaults!B:B,CodePath_Defaults!D:D,""),""))</f>
        <v/>
      </c>
      <c r="T1473" t="s">
        <v>801</v>
      </c>
    </row>
    <row r="1474" spans="12:20" x14ac:dyDescent="0.35">
      <c r="L1474" t="str">
        <f ca="1">IFERROR(_xludf.XLOOKUP(C1474,CodePath_Defaults!A:A,CodePath_Defaults!D:D,""),IFERROR(_xludf.XLOOKUP(B1474,CodePath_Defaults!B:B,CodePath_Defaults!D:D,""),""))</f>
        <v/>
      </c>
      <c r="T1474" t="s">
        <v>801</v>
      </c>
    </row>
    <row r="1475" spans="12:20" x14ac:dyDescent="0.35">
      <c r="L1475" t="str">
        <f ca="1">IFERROR(_xludf.XLOOKUP(C1475,CodePath_Defaults!A:A,CodePath_Defaults!D:D,""),IFERROR(_xludf.XLOOKUP(B1475,CodePath_Defaults!B:B,CodePath_Defaults!D:D,""),""))</f>
        <v/>
      </c>
      <c r="T1475" t="s">
        <v>801</v>
      </c>
    </row>
    <row r="1476" spans="12:20" x14ac:dyDescent="0.35">
      <c r="L1476" t="str">
        <f ca="1">IFERROR(_xludf.XLOOKUP(C1476,CodePath_Defaults!A:A,CodePath_Defaults!D:D,""),IFERROR(_xludf.XLOOKUP(B1476,CodePath_Defaults!B:B,CodePath_Defaults!D:D,""),""))</f>
        <v/>
      </c>
      <c r="T1476" t="s">
        <v>801</v>
      </c>
    </row>
    <row r="1477" spans="12:20" x14ac:dyDescent="0.35">
      <c r="L1477" t="str">
        <f ca="1">IFERROR(_xludf.XLOOKUP(C1477,CodePath_Defaults!A:A,CodePath_Defaults!D:D,""),IFERROR(_xludf.XLOOKUP(B1477,CodePath_Defaults!B:B,CodePath_Defaults!D:D,""),""))</f>
        <v/>
      </c>
      <c r="T1477" t="s">
        <v>801</v>
      </c>
    </row>
    <row r="1478" spans="12:20" x14ac:dyDescent="0.35">
      <c r="L1478" t="str">
        <f ca="1">IFERROR(_xludf.XLOOKUP(C1478,CodePath_Defaults!A:A,CodePath_Defaults!D:D,""),IFERROR(_xludf.XLOOKUP(B1478,CodePath_Defaults!B:B,CodePath_Defaults!D:D,""),""))</f>
        <v/>
      </c>
      <c r="T1478" t="s">
        <v>801</v>
      </c>
    </row>
    <row r="1479" spans="12:20" x14ac:dyDescent="0.35">
      <c r="L1479" t="str">
        <f ca="1">IFERROR(_xludf.XLOOKUP(C1479,CodePath_Defaults!A:A,CodePath_Defaults!D:D,""),IFERROR(_xludf.XLOOKUP(B1479,CodePath_Defaults!B:B,CodePath_Defaults!D:D,""),""))</f>
        <v/>
      </c>
      <c r="T1479" t="s">
        <v>801</v>
      </c>
    </row>
    <row r="1480" spans="12:20" x14ac:dyDescent="0.35">
      <c r="L1480" t="str">
        <f ca="1">IFERROR(_xludf.XLOOKUP(C1480,CodePath_Defaults!A:A,CodePath_Defaults!D:D,""),IFERROR(_xludf.XLOOKUP(B1480,CodePath_Defaults!B:B,CodePath_Defaults!D:D,""),""))</f>
        <v/>
      </c>
      <c r="T1480" t="s">
        <v>801</v>
      </c>
    </row>
    <row r="1481" spans="12:20" x14ac:dyDescent="0.35">
      <c r="L1481" t="str">
        <f ca="1">IFERROR(_xludf.XLOOKUP(C1481,CodePath_Defaults!A:A,CodePath_Defaults!D:D,""),IFERROR(_xludf.XLOOKUP(B1481,CodePath_Defaults!B:B,CodePath_Defaults!D:D,""),""))</f>
        <v/>
      </c>
      <c r="T1481" t="s">
        <v>801</v>
      </c>
    </row>
    <row r="1482" spans="12:20" x14ac:dyDescent="0.35">
      <c r="L1482" t="str">
        <f ca="1">IFERROR(_xludf.XLOOKUP(C1482,CodePath_Defaults!A:A,CodePath_Defaults!D:D,""),IFERROR(_xludf.XLOOKUP(B1482,CodePath_Defaults!B:B,CodePath_Defaults!D:D,""),""))</f>
        <v/>
      </c>
      <c r="T1482" t="s">
        <v>801</v>
      </c>
    </row>
    <row r="1483" spans="12:20" x14ac:dyDescent="0.35">
      <c r="L1483" t="str">
        <f ca="1">IFERROR(_xludf.XLOOKUP(C1483,CodePath_Defaults!A:A,CodePath_Defaults!D:D,""),IFERROR(_xludf.XLOOKUP(B1483,CodePath_Defaults!B:B,CodePath_Defaults!D:D,""),""))</f>
        <v/>
      </c>
      <c r="T1483" t="s">
        <v>801</v>
      </c>
    </row>
    <row r="1484" spans="12:20" x14ac:dyDescent="0.35">
      <c r="L1484" t="str">
        <f ca="1">IFERROR(_xludf.XLOOKUP(C1484,CodePath_Defaults!A:A,CodePath_Defaults!D:D,""),IFERROR(_xludf.XLOOKUP(B1484,CodePath_Defaults!B:B,CodePath_Defaults!D:D,""),""))</f>
        <v/>
      </c>
      <c r="T1484" t="s">
        <v>801</v>
      </c>
    </row>
    <row r="1485" spans="12:20" x14ac:dyDescent="0.35">
      <c r="L1485" t="str">
        <f ca="1">IFERROR(_xludf.XLOOKUP(C1485,CodePath_Defaults!A:A,CodePath_Defaults!D:D,""),IFERROR(_xludf.XLOOKUP(B1485,CodePath_Defaults!B:B,CodePath_Defaults!D:D,""),""))</f>
        <v/>
      </c>
      <c r="T1485" t="s">
        <v>801</v>
      </c>
    </row>
    <row r="1486" spans="12:20" x14ac:dyDescent="0.35">
      <c r="L1486" t="str">
        <f ca="1">IFERROR(_xludf.XLOOKUP(C1486,CodePath_Defaults!A:A,CodePath_Defaults!D:D,""),IFERROR(_xludf.XLOOKUP(B1486,CodePath_Defaults!B:B,CodePath_Defaults!D:D,""),""))</f>
        <v/>
      </c>
      <c r="T1486" t="s">
        <v>801</v>
      </c>
    </row>
    <row r="1487" spans="12:20" x14ac:dyDescent="0.35">
      <c r="L1487" t="str">
        <f ca="1">IFERROR(_xludf.XLOOKUP(C1487,CodePath_Defaults!A:A,CodePath_Defaults!D:D,""),IFERROR(_xludf.XLOOKUP(B1487,CodePath_Defaults!B:B,CodePath_Defaults!D:D,""),""))</f>
        <v/>
      </c>
      <c r="T1487" t="s">
        <v>801</v>
      </c>
    </row>
    <row r="1488" spans="12:20" x14ac:dyDescent="0.35">
      <c r="L1488" t="str">
        <f ca="1">IFERROR(_xludf.XLOOKUP(C1488,CodePath_Defaults!A:A,CodePath_Defaults!D:D,""),IFERROR(_xludf.XLOOKUP(B1488,CodePath_Defaults!B:B,CodePath_Defaults!D:D,""),""))</f>
        <v/>
      </c>
      <c r="T1488" t="s">
        <v>801</v>
      </c>
    </row>
    <row r="1489" spans="12:20" x14ac:dyDescent="0.35">
      <c r="L1489" t="str">
        <f ca="1">IFERROR(_xludf.XLOOKUP(C1489,CodePath_Defaults!A:A,CodePath_Defaults!D:D,""),IFERROR(_xludf.XLOOKUP(B1489,CodePath_Defaults!B:B,CodePath_Defaults!D:D,""),""))</f>
        <v/>
      </c>
      <c r="T1489" t="s">
        <v>801</v>
      </c>
    </row>
    <row r="1490" spans="12:20" x14ac:dyDescent="0.35">
      <c r="L1490" t="str">
        <f ca="1">IFERROR(_xludf.XLOOKUP(C1490,CodePath_Defaults!A:A,CodePath_Defaults!D:D,""),IFERROR(_xludf.XLOOKUP(B1490,CodePath_Defaults!B:B,CodePath_Defaults!D:D,""),""))</f>
        <v/>
      </c>
      <c r="T1490" t="s">
        <v>801</v>
      </c>
    </row>
    <row r="1491" spans="12:20" x14ac:dyDescent="0.35">
      <c r="L1491" t="str">
        <f ca="1">IFERROR(_xludf.XLOOKUP(C1491,CodePath_Defaults!A:A,CodePath_Defaults!D:D,""),IFERROR(_xludf.XLOOKUP(B1491,CodePath_Defaults!B:B,CodePath_Defaults!D:D,""),""))</f>
        <v/>
      </c>
      <c r="T1491" t="s">
        <v>801</v>
      </c>
    </row>
    <row r="1492" spans="12:20" x14ac:dyDescent="0.35">
      <c r="L1492" t="str">
        <f ca="1">IFERROR(_xludf.XLOOKUP(C1492,CodePath_Defaults!A:A,CodePath_Defaults!D:D,""),IFERROR(_xludf.XLOOKUP(B1492,CodePath_Defaults!B:B,CodePath_Defaults!D:D,""),""))</f>
        <v/>
      </c>
      <c r="T1492" t="s">
        <v>801</v>
      </c>
    </row>
    <row r="1493" spans="12:20" x14ac:dyDescent="0.35">
      <c r="L1493" t="str">
        <f ca="1">IFERROR(_xludf.XLOOKUP(C1493,CodePath_Defaults!A:A,CodePath_Defaults!D:D,""),IFERROR(_xludf.XLOOKUP(B1493,CodePath_Defaults!B:B,CodePath_Defaults!D:D,""),""))</f>
        <v/>
      </c>
      <c r="T1493" t="s">
        <v>801</v>
      </c>
    </row>
    <row r="1494" spans="12:20" x14ac:dyDescent="0.35">
      <c r="L1494" t="str">
        <f ca="1">IFERROR(_xludf.XLOOKUP(C1494,CodePath_Defaults!A:A,CodePath_Defaults!D:D,""),IFERROR(_xludf.XLOOKUP(B1494,CodePath_Defaults!B:B,CodePath_Defaults!D:D,""),""))</f>
        <v/>
      </c>
      <c r="T1494" t="s">
        <v>801</v>
      </c>
    </row>
    <row r="1495" spans="12:20" x14ac:dyDescent="0.35">
      <c r="L1495" t="str">
        <f ca="1">IFERROR(_xludf.XLOOKUP(C1495,CodePath_Defaults!A:A,CodePath_Defaults!D:D,""),IFERROR(_xludf.XLOOKUP(B1495,CodePath_Defaults!B:B,CodePath_Defaults!D:D,""),""))</f>
        <v/>
      </c>
      <c r="T1495" t="s">
        <v>801</v>
      </c>
    </row>
    <row r="1496" spans="12:20" x14ac:dyDescent="0.35">
      <c r="L1496" t="str">
        <f ca="1">IFERROR(_xludf.XLOOKUP(C1496,CodePath_Defaults!A:A,CodePath_Defaults!D:D,""),IFERROR(_xludf.XLOOKUP(B1496,CodePath_Defaults!B:B,CodePath_Defaults!D:D,""),""))</f>
        <v/>
      </c>
      <c r="T1496" t="s">
        <v>801</v>
      </c>
    </row>
    <row r="1497" spans="12:20" x14ac:dyDescent="0.35">
      <c r="L1497" t="str">
        <f ca="1">IFERROR(_xludf.XLOOKUP(C1497,CodePath_Defaults!A:A,CodePath_Defaults!D:D,""),IFERROR(_xludf.XLOOKUP(B1497,CodePath_Defaults!B:B,CodePath_Defaults!D:D,""),""))</f>
        <v/>
      </c>
      <c r="T1497" t="s">
        <v>801</v>
      </c>
    </row>
    <row r="1498" spans="12:20" x14ac:dyDescent="0.35">
      <c r="L1498" t="str">
        <f ca="1">IFERROR(_xludf.XLOOKUP(C1498,CodePath_Defaults!A:A,CodePath_Defaults!D:D,""),IFERROR(_xludf.XLOOKUP(B1498,CodePath_Defaults!B:B,CodePath_Defaults!D:D,""),""))</f>
        <v/>
      </c>
      <c r="T1498" t="s">
        <v>801</v>
      </c>
    </row>
    <row r="1499" spans="12:20" x14ac:dyDescent="0.35">
      <c r="L1499" t="str">
        <f ca="1">IFERROR(_xludf.XLOOKUP(C1499,CodePath_Defaults!A:A,CodePath_Defaults!D:D,""),IFERROR(_xludf.XLOOKUP(B1499,CodePath_Defaults!B:B,CodePath_Defaults!D:D,""),""))</f>
        <v/>
      </c>
      <c r="T1499" t="s">
        <v>801</v>
      </c>
    </row>
    <row r="1500" spans="12:20" x14ac:dyDescent="0.35">
      <c r="L1500" t="str">
        <f ca="1">IFERROR(_xludf.XLOOKUP(C1500,CodePath_Defaults!A:A,CodePath_Defaults!D:D,""),IFERROR(_xludf.XLOOKUP(B1500,CodePath_Defaults!B:B,CodePath_Defaults!D:D,""),""))</f>
        <v/>
      </c>
      <c r="T1500" t="s">
        <v>801</v>
      </c>
    </row>
    <row r="1501" spans="12:20" x14ac:dyDescent="0.35">
      <c r="L1501" t="str">
        <f ca="1">IFERROR(_xludf.XLOOKUP(C1501,CodePath_Defaults!A:A,CodePath_Defaults!D:D,""),IFERROR(_xludf.XLOOKUP(B1501,CodePath_Defaults!B:B,CodePath_Defaults!D:D,""),""))</f>
        <v/>
      </c>
      <c r="T1501" t="s">
        <v>801</v>
      </c>
    </row>
    <row r="1502" spans="12:20" x14ac:dyDescent="0.35">
      <c r="L1502" t="str">
        <f ca="1">IFERROR(_xludf.XLOOKUP(C1502,CodePath_Defaults!A:A,CodePath_Defaults!D:D,""),IFERROR(_xludf.XLOOKUP(B1502,CodePath_Defaults!B:B,CodePath_Defaults!D:D,""),""))</f>
        <v/>
      </c>
      <c r="T1502" t="s">
        <v>801</v>
      </c>
    </row>
    <row r="1503" spans="12:20" x14ac:dyDescent="0.35">
      <c r="L1503" t="str">
        <f ca="1">IFERROR(_xludf.XLOOKUP(C1503,CodePath_Defaults!A:A,CodePath_Defaults!D:D,""),IFERROR(_xludf.XLOOKUP(B1503,CodePath_Defaults!B:B,CodePath_Defaults!D:D,""),""))</f>
        <v/>
      </c>
      <c r="T1503" t="s">
        <v>801</v>
      </c>
    </row>
    <row r="1504" spans="12:20" x14ac:dyDescent="0.35">
      <c r="L1504" t="str">
        <f ca="1">IFERROR(_xludf.XLOOKUP(C1504,CodePath_Defaults!A:A,CodePath_Defaults!D:D,""),IFERROR(_xludf.XLOOKUP(B1504,CodePath_Defaults!B:B,CodePath_Defaults!D:D,""),""))</f>
        <v/>
      </c>
      <c r="T1504" t="s">
        <v>801</v>
      </c>
    </row>
    <row r="1505" spans="12:20" x14ac:dyDescent="0.35">
      <c r="L1505" t="str">
        <f ca="1">IFERROR(_xludf.XLOOKUP(C1505,CodePath_Defaults!A:A,CodePath_Defaults!D:D,""),IFERROR(_xludf.XLOOKUP(B1505,CodePath_Defaults!B:B,CodePath_Defaults!D:D,""),""))</f>
        <v/>
      </c>
      <c r="T1505" t="s">
        <v>801</v>
      </c>
    </row>
    <row r="1506" spans="12:20" x14ac:dyDescent="0.35">
      <c r="L1506" t="str">
        <f ca="1">IFERROR(_xludf.XLOOKUP(C1506,CodePath_Defaults!A:A,CodePath_Defaults!D:D,""),IFERROR(_xludf.XLOOKUP(B1506,CodePath_Defaults!B:B,CodePath_Defaults!D:D,""),""))</f>
        <v/>
      </c>
      <c r="T1506" t="s">
        <v>801</v>
      </c>
    </row>
    <row r="1507" spans="12:20" x14ac:dyDescent="0.35">
      <c r="L1507" t="str">
        <f ca="1">IFERROR(_xludf.XLOOKUP(C1507,CodePath_Defaults!A:A,CodePath_Defaults!D:D,""),IFERROR(_xludf.XLOOKUP(B1507,CodePath_Defaults!B:B,CodePath_Defaults!D:D,""),""))</f>
        <v/>
      </c>
      <c r="T1507" t="s">
        <v>801</v>
      </c>
    </row>
    <row r="1508" spans="12:20" x14ac:dyDescent="0.35">
      <c r="L1508" t="str">
        <f ca="1">IFERROR(_xludf.XLOOKUP(C1508,CodePath_Defaults!A:A,CodePath_Defaults!D:D,""),IFERROR(_xludf.XLOOKUP(B1508,CodePath_Defaults!B:B,CodePath_Defaults!D:D,""),""))</f>
        <v/>
      </c>
      <c r="T1508" t="s">
        <v>801</v>
      </c>
    </row>
    <row r="1509" spans="12:20" x14ac:dyDescent="0.35">
      <c r="L1509" t="str">
        <f ca="1">IFERROR(_xludf.XLOOKUP(C1509,CodePath_Defaults!A:A,CodePath_Defaults!D:D,""),IFERROR(_xludf.XLOOKUP(B1509,CodePath_Defaults!B:B,CodePath_Defaults!D:D,""),""))</f>
        <v/>
      </c>
      <c r="T1509" t="s">
        <v>801</v>
      </c>
    </row>
    <row r="1510" spans="12:20" x14ac:dyDescent="0.35">
      <c r="L1510" t="str">
        <f ca="1">IFERROR(_xludf.XLOOKUP(C1510,CodePath_Defaults!A:A,CodePath_Defaults!D:D,""),IFERROR(_xludf.XLOOKUP(B1510,CodePath_Defaults!B:B,CodePath_Defaults!D:D,""),""))</f>
        <v/>
      </c>
      <c r="T1510" t="s">
        <v>801</v>
      </c>
    </row>
    <row r="1511" spans="12:20" x14ac:dyDescent="0.35">
      <c r="L1511" t="str">
        <f ca="1">IFERROR(_xludf.XLOOKUP(C1511,CodePath_Defaults!A:A,CodePath_Defaults!D:D,""),IFERROR(_xludf.XLOOKUP(B1511,CodePath_Defaults!B:B,CodePath_Defaults!D:D,""),""))</f>
        <v/>
      </c>
      <c r="T1511" t="s">
        <v>801</v>
      </c>
    </row>
    <row r="1512" spans="12:20" x14ac:dyDescent="0.35">
      <c r="L1512" t="str">
        <f ca="1">IFERROR(_xludf.XLOOKUP(C1512,CodePath_Defaults!A:A,CodePath_Defaults!D:D,""),IFERROR(_xludf.XLOOKUP(B1512,CodePath_Defaults!B:B,CodePath_Defaults!D:D,""),""))</f>
        <v/>
      </c>
      <c r="T1512" t="s">
        <v>801</v>
      </c>
    </row>
    <row r="1513" spans="12:20" x14ac:dyDescent="0.35">
      <c r="L1513" t="str">
        <f ca="1">IFERROR(_xludf.XLOOKUP(C1513,CodePath_Defaults!A:A,CodePath_Defaults!D:D,""),IFERROR(_xludf.XLOOKUP(B1513,CodePath_Defaults!B:B,CodePath_Defaults!D:D,""),""))</f>
        <v/>
      </c>
      <c r="T1513" t="s">
        <v>801</v>
      </c>
    </row>
    <row r="1514" spans="12:20" x14ac:dyDescent="0.35">
      <c r="L1514" t="str">
        <f ca="1">IFERROR(_xludf.XLOOKUP(C1514,CodePath_Defaults!A:A,CodePath_Defaults!D:D,""),IFERROR(_xludf.XLOOKUP(B1514,CodePath_Defaults!B:B,CodePath_Defaults!D:D,""),""))</f>
        <v/>
      </c>
      <c r="T1514" t="s">
        <v>801</v>
      </c>
    </row>
    <row r="1515" spans="12:20" x14ac:dyDescent="0.35">
      <c r="L1515" t="str">
        <f ca="1">IFERROR(_xludf.XLOOKUP(C1515,CodePath_Defaults!A:A,CodePath_Defaults!D:D,""),IFERROR(_xludf.XLOOKUP(B1515,CodePath_Defaults!B:B,CodePath_Defaults!D:D,""),""))</f>
        <v/>
      </c>
      <c r="T1515" t="s">
        <v>801</v>
      </c>
    </row>
    <row r="1516" spans="12:20" x14ac:dyDescent="0.35">
      <c r="L1516" t="str">
        <f ca="1">IFERROR(_xludf.XLOOKUP(C1516,CodePath_Defaults!A:A,CodePath_Defaults!D:D,""),IFERROR(_xludf.XLOOKUP(B1516,CodePath_Defaults!B:B,CodePath_Defaults!D:D,""),""))</f>
        <v/>
      </c>
      <c r="T1516" t="s">
        <v>801</v>
      </c>
    </row>
    <row r="1517" spans="12:20" x14ac:dyDescent="0.35">
      <c r="L1517" t="str">
        <f ca="1">IFERROR(_xludf.XLOOKUP(C1517,CodePath_Defaults!A:A,CodePath_Defaults!D:D,""),IFERROR(_xludf.XLOOKUP(B1517,CodePath_Defaults!B:B,CodePath_Defaults!D:D,""),""))</f>
        <v/>
      </c>
      <c r="T1517" t="s">
        <v>801</v>
      </c>
    </row>
    <row r="1518" spans="12:20" x14ac:dyDescent="0.35">
      <c r="L1518" t="str">
        <f ca="1">IFERROR(_xludf.XLOOKUP(C1518,CodePath_Defaults!A:A,CodePath_Defaults!D:D,""),IFERROR(_xludf.XLOOKUP(B1518,CodePath_Defaults!B:B,CodePath_Defaults!D:D,""),""))</f>
        <v/>
      </c>
      <c r="T1518" t="s">
        <v>801</v>
      </c>
    </row>
    <row r="1519" spans="12:20" x14ac:dyDescent="0.35">
      <c r="L1519" t="str">
        <f ca="1">IFERROR(_xludf.XLOOKUP(C1519,CodePath_Defaults!A:A,CodePath_Defaults!D:D,""),IFERROR(_xludf.XLOOKUP(B1519,CodePath_Defaults!B:B,CodePath_Defaults!D:D,""),""))</f>
        <v/>
      </c>
      <c r="T1519" t="s">
        <v>801</v>
      </c>
    </row>
    <row r="1520" spans="12:20" x14ac:dyDescent="0.35">
      <c r="L1520" t="str">
        <f ca="1">IFERROR(_xludf.XLOOKUP(C1520,CodePath_Defaults!A:A,CodePath_Defaults!D:D,""),IFERROR(_xludf.XLOOKUP(B1520,CodePath_Defaults!B:B,CodePath_Defaults!D:D,""),""))</f>
        <v/>
      </c>
      <c r="T1520" t="s">
        <v>801</v>
      </c>
    </row>
    <row r="1521" spans="12:20" x14ac:dyDescent="0.35">
      <c r="L1521" t="str">
        <f ca="1">IFERROR(_xludf.XLOOKUP(C1521,CodePath_Defaults!A:A,CodePath_Defaults!D:D,""),IFERROR(_xludf.XLOOKUP(B1521,CodePath_Defaults!B:B,CodePath_Defaults!D:D,""),""))</f>
        <v/>
      </c>
      <c r="T1521" t="s">
        <v>801</v>
      </c>
    </row>
    <row r="1522" spans="12:20" x14ac:dyDescent="0.35">
      <c r="L1522" t="str">
        <f ca="1">IFERROR(_xludf.XLOOKUP(C1522,CodePath_Defaults!A:A,CodePath_Defaults!D:D,""),IFERROR(_xludf.XLOOKUP(B1522,CodePath_Defaults!B:B,CodePath_Defaults!D:D,""),""))</f>
        <v/>
      </c>
      <c r="T1522" t="s">
        <v>801</v>
      </c>
    </row>
    <row r="1523" spans="12:20" x14ac:dyDescent="0.35">
      <c r="L1523" t="str">
        <f ca="1">IFERROR(_xludf.XLOOKUP(C1523,CodePath_Defaults!A:A,CodePath_Defaults!D:D,""),IFERROR(_xludf.XLOOKUP(B1523,CodePath_Defaults!B:B,CodePath_Defaults!D:D,""),""))</f>
        <v/>
      </c>
      <c r="T1523" t="s">
        <v>801</v>
      </c>
    </row>
    <row r="1524" spans="12:20" x14ac:dyDescent="0.35">
      <c r="L1524" t="str">
        <f ca="1">IFERROR(_xludf.XLOOKUP(C1524,CodePath_Defaults!A:A,CodePath_Defaults!D:D,""),IFERROR(_xludf.XLOOKUP(B1524,CodePath_Defaults!B:B,CodePath_Defaults!D:D,""),""))</f>
        <v/>
      </c>
      <c r="T1524" t="s">
        <v>801</v>
      </c>
    </row>
    <row r="1525" spans="12:20" x14ac:dyDescent="0.35">
      <c r="L1525" t="str">
        <f ca="1">IFERROR(_xludf.XLOOKUP(C1525,CodePath_Defaults!A:A,CodePath_Defaults!D:D,""),IFERROR(_xludf.XLOOKUP(B1525,CodePath_Defaults!B:B,CodePath_Defaults!D:D,""),""))</f>
        <v/>
      </c>
      <c r="T1525" t="s">
        <v>801</v>
      </c>
    </row>
    <row r="1526" spans="12:20" x14ac:dyDescent="0.35">
      <c r="L1526" t="str">
        <f ca="1">IFERROR(_xludf.XLOOKUP(C1526,CodePath_Defaults!A:A,CodePath_Defaults!D:D,""),IFERROR(_xludf.XLOOKUP(B1526,CodePath_Defaults!B:B,CodePath_Defaults!D:D,""),""))</f>
        <v/>
      </c>
      <c r="T1526" t="s">
        <v>801</v>
      </c>
    </row>
    <row r="1527" spans="12:20" x14ac:dyDescent="0.35">
      <c r="L1527" t="str">
        <f ca="1">IFERROR(_xludf.XLOOKUP(C1527,CodePath_Defaults!A:A,CodePath_Defaults!D:D,""),IFERROR(_xludf.XLOOKUP(B1527,CodePath_Defaults!B:B,CodePath_Defaults!D:D,""),""))</f>
        <v/>
      </c>
      <c r="T1527" t="s">
        <v>801</v>
      </c>
    </row>
    <row r="1528" spans="12:20" x14ac:dyDescent="0.35">
      <c r="L1528" t="str">
        <f ca="1">IFERROR(_xludf.XLOOKUP(C1528,CodePath_Defaults!A:A,CodePath_Defaults!D:D,""),IFERROR(_xludf.XLOOKUP(B1528,CodePath_Defaults!B:B,CodePath_Defaults!D:D,""),""))</f>
        <v/>
      </c>
      <c r="T1528" t="s">
        <v>801</v>
      </c>
    </row>
    <row r="1529" spans="12:20" x14ac:dyDescent="0.35">
      <c r="L1529" t="str">
        <f ca="1">IFERROR(_xludf.XLOOKUP(C1529,CodePath_Defaults!A:A,CodePath_Defaults!D:D,""),IFERROR(_xludf.XLOOKUP(B1529,CodePath_Defaults!B:B,CodePath_Defaults!D:D,""),""))</f>
        <v/>
      </c>
      <c r="T1529" t="s">
        <v>801</v>
      </c>
    </row>
    <row r="1530" spans="12:20" x14ac:dyDescent="0.35">
      <c r="L1530" t="str">
        <f ca="1">IFERROR(_xludf.XLOOKUP(C1530,CodePath_Defaults!A:A,CodePath_Defaults!D:D,""),IFERROR(_xludf.XLOOKUP(B1530,CodePath_Defaults!B:B,CodePath_Defaults!D:D,""),""))</f>
        <v/>
      </c>
      <c r="T1530" t="s">
        <v>801</v>
      </c>
    </row>
    <row r="1531" spans="12:20" x14ac:dyDescent="0.35">
      <c r="L1531" t="str">
        <f ca="1">IFERROR(_xludf.XLOOKUP(C1531,CodePath_Defaults!A:A,CodePath_Defaults!D:D,""),IFERROR(_xludf.XLOOKUP(B1531,CodePath_Defaults!B:B,CodePath_Defaults!D:D,""),""))</f>
        <v/>
      </c>
      <c r="T1531" t="s">
        <v>801</v>
      </c>
    </row>
    <row r="1532" spans="12:20" x14ac:dyDescent="0.35">
      <c r="L1532" t="str">
        <f ca="1">IFERROR(_xludf.XLOOKUP(C1532,CodePath_Defaults!A:A,CodePath_Defaults!D:D,""),IFERROR(_xludf.XLOOKUP(B1532,CodePath_Defaults!B:B,CodePath_Defaults!D:D,""),""))</f>
        <v/>
      </c>
      <c r="T1532" t="s">
        <v>801</v>
      </c>
    </row>
    <row r="1533" spans="12:20" x14ac:dyDescent="0.35">
      <c r="L1533" t="str">
        <f ca="1">IFERROR(_xludf.XLOOKUP(C1533,CodePath_Defaults!A:A,CodePath_Defaults!D:D,""),IFERROR(_xludf.XLOOKUP(B1533,CodePath_Defaults!B:B,CodePath_Defaults!D:D,""),""))</f>
        <v/>
      </c>
      <c r="T1533" t="s">
        <v>801</v>
      </c>
    </row>
    <row r="1534" spans="12:20" x14ac:dyDescent="0.35">
      <c r="L1534" t="str">
        <f ca="1">IFERROR(_xludf.XLOOKUP(C1534,CodePath_Defaults!A:A,CodePath_Defaults!D:D,""),IFERROR(_xludf.XLOOKUP(B1534,CodePath_Defaults!B:B,CodePath_Defaults!D:D,""),""))</f>
        <v/>
      </c>
      <c r="T1534" t="s">
        <v>801</v>
      </c>
    </row>
    <row r="1535" spans="12:20" x14ac:dyDescent="0.35">
      <c r="L1535" t="str">
        <f ca="1">IFERROR(_xludf.XLOOKUP(C1535,CodePath_Defaults!A:A,CodePath_Defaults!D:D,""),IFERROR(_xludf.XLOOKUP(B1535,CodePath_Defaults!B:B,CodePath_Defaults!D:D,""),""))</f>
        <v/>
      </c>
      <c r="T1535" t="s">
        <v>801</v>
      </c>
    </row>
    <row r="1536" spans="12:20" x14ac:dyDescent="0.35">
      <c r="L1536" t="str">
        <f ca="1">IFERROR(_xludf.XLOOKUP(C1536,CodePath_Defaults!A:A,CodePath_Defaults!D:D,""),IFERROR(_xludf.XLOOKUP(B1536,CodePath_Defaults!B:B,CodePath_Defaults!D:D,""),""))</f>
        <v/>
      </c>
      <c r="T1536" t="s">
        <v>801</v>
      </c>
    </row>
    <row r="1537" spans="12:20" x14ac:dyDescent="0.35">
      <c r="L1537" t="str">
        <f ca="1">IFERROR(_xludf.XLOOKUP(C1537,CodePath_Defaults!A:A,CodePath_Defaults!D:D,""),IFERROR(_xludf.XLOOKUP(B1537,CodePath_Defaults!B:B,CodePath_Defaults!D:D,""),""))</f>
        <v/>
      </c>
      <c r="T1537" t="s">
        <v>801</v>
      </c>
    </row>
    <row r="1538" spans="12:20" x14ac:dyDescent="0.35">
      <c r="L1538" t="str">
        <f ca="1">IFERROR(_xludf.XLOOKUP(C1538,CodePath_Defaults!A:A,CodePath_Defaults!D:D,""),IFERROR(_xludf.XLOOKUP(B1538,CodePath_Defaults!B:B,CodePath_Defaults!D:D,""),""))</f>
        <v/>
      </c>
      <c r="T1538" t="s">
        <v>801</v>
      </c>
    </row>
    <row r="1539" spans="12:20" x14ac:dyDescent="0.35">
      <c r="L1539" t="str">
        <f ca="1">IFERROR(_xludf.XLOOKUP(C1539,CodePath_Defaults!A:A,CodePath_Defaults!D:D,""),IFERROR(_xludf.XLOOKUP(B1539,CodePath_Defaults!B:B,CodePath_Defaults!D:D,""),""))</f>
        <v/>
      </c>
      <c r="T1539" t="s">
        <v>801</v>
      </c>
    </row>
    <row r="1540" spans="12:20" x14ac:dyDescent="0.35">
      <c r="L1540" t="str">
        <f ca="1">IFERROR(_xludf.XLOOKUP(C1540,CodePath_Defaults!A:A,CodePath_Defaults!D:D,""),IFERROR(_xludf.XLOOKUP(B1540,CodePath_Defaults!B:B,CodePath_Defaults!D:D,""),""))</f>
        <v/>
      </c>
      <c r="T1540" t="s">
        <v>801</v>
      </c>
    </row>
    <row r="1541" spans="12:20" x14ac:dyDescent="0.35">
      <c r="L1541" t="str">
        <f ca="1">IFERROR(_xludf.XLOOKUP(C1541,CodePath_Defaults!A:A,CodePath_Defaults!D:D,""),IFERROR(_xludf.XLOOKUP(B1541,CodePath_Defaults!B:B,CodePath_Defaults!D:D,""),""))</f>
        <v/>
      </c>
      <c r="T1541" t="s">
        <v>801</v>
      </c>
    </row>
    <row r="1542" spans="12:20" x14ac:dyDescent="0.35">
      <c r="L1542" t="str">
        <f ca="1">IFERROR(_xludf.XLOOKUP(C1542,CodePath_Defaults!A:A,CodePath_Defaults!D:D,""),IFERROR(_xludf.XLOOKUP(B1542,CodePath_Defaults!B:B,CodePath_Defaults!D:D,""),""))</f>
        <v/>
      </c>
      <c r="T1542" t="s">
        <v>801</v>
      </c>
    </row>
    <row r="1543" spans="12:20" x14ac:dyDescent="0.35">
      <c r="L1543" t="str">
        <f ca="1">IFERROR(_xludf.XLOOKUP(C1543,CodePath_Defaults!A:A,CodePath_Defaults!D:D,""),IFERROR(_xludf.XLOOKUP(B1543,CodePath_Defaults!B:B,CodePath_Defaults!D:D,""),""))</f>
        <v/>
      </c>
      <c r="T1543" t="s">
        <v>801</v>
      </c>
    </row>
    <row r="1544" spans="12:20" x14ac:dyDescent="0.35">
      <c r="L1544" t="str">
        <f ca="1">IFERROR(_xludf.XLOOKUP(C1544,CodePath_Defaults!A:A,CodePath_Defaults!D:D,""),IFERROR(_xludf.XLOOKUP(B1544,CodePath_Defaults!B:B,CodePath_Defaults!D:D,""),""))</f>
        <v/>
      </c>
      <c r="T1544" t="s">
        <v>801</v>
      </c>
    </row>
    <row r="1545" spans="12:20" x14ac:dyDescent="0.35">
      <c r="L1545" t="str">
        <f ca="1">IFERROR(_xludf.XLOOKUP(C1545,CodePath_Defaults!A:A,CodePath_Defaults!D:D,""),IFERROR(_xludf.XLOOKUP(B1545,CodePath_Defaults!B:B,CodePath_Defaults!D:D,""),""))</f>
        <v/>
      </c>
      <c r="T1545" t="s">
        <v>801</v>
      </c>
    </row>
    <row r="1546" spans="12:20" x14ac:dyDescent="0.35">
      <c r="L1546" t="str">
        <f ca="1">IFERROR(_xludf.XLOOKUP(C1546,CodePath_Defaults!A:A,CodePath_Defaults!D:D,""),IFERROR(_xludf.XLOOKUP(B1546,CodePath_Defaults!B:B,CodePath_Defaults!D:D,""),""))</f>
        <v/>
      </c>
      <c r="T1546" t="s">
        <v>801</v>
      </c>
    </row>
    <row r="1547" spans="12:20" x14ac:dyDescent="0.35">
      <c r="L1547" t="str">
        <f ca="1">IFERROR(_xludf.XLOOKUP(C1547,CodePath_Defaults!A:A,CodePath_Defaults!D:D,""),IFERROR(_xludf.XLOOKUP(B1547,CodePath_Defaults!B:B,CodePath_Defaults!D:D,""),""))</f>
        <v/>
      </c>
      <c r="T1547" t="s">
        <v>801</v>
      </c>
    </row>
    <row r="1548" spans="12:20" x14ac:dyDescent="0.35">
      <c r="L1548" t="str">
        <f ca="1">IFERROR(_xludf.XLOOKUP(C1548,CodePath_Defaults!A:A,CodePath_Defaults!D:D,""),IFERROR(_xludf.XLOOKUP(B1548,CodePath_Defaults!B:B,CodePath_Defaults!D:D,""),""))</f>
        <v/>
      </c>
      <c r="T1548" t="s">
        <v>801</v>
      </c>
    </row>
    <row r="1549" spans="12:20" x14ac:dyDescent="0.35">
      <c r="L1549" t="str">
        <f ca="1">IFERROR(_xludf.XLOOKUP(C1549,CodePath_Defaults!A:A,CodePath_Defaults!D:D,""),IFERROR(_xludf.XLOOKUP(B1549,CodePath_Defaults!B:B,CodePath_Defaults!D:D,""),""))</f>
        <v/>
      </c>
      <c r="T1549" t="s">
        <v>801</v>
      </c>
    </row>
    <row r="1550" spans="12:20" x14ac:dyDescent="0.35">
      <c r="L1550" t="str">
        <f ca="1">IFERROR(_xludf.XLOOKUP(C1550,CodePath_Defaults!A:A,CodePath_Defaults!D:D,""),IFERROR(_xludf.XLOOKUP(B1550,CodePath_Defaults!B:B,CodePath_Defaults!D:D,""),""))</f>
        <v/>
      </c>
      <c r="T1550" t="s">
        <v>801</v>
      </c>
    </row>
    <row r="1551" spans="12:20" x14ac:dyDescent="0.35">
      <c r="L1551" t="str">
        <f ca="1">IFERROR(_xludf.XLOOKUP(C1551,CodePath_Defaults!A:A,CodePath_Defaults!D:D,""),IFERROR(_xludf.XLOOKUP(B1551,CodePath_Defaults!B:B,CodePath_Defaults!D:D,""),""))</f>
        <v/>
      </c>
      <c r="T1551" t="s">
        <v>801</v>
      </c>
    </row>
    <row r="1552" spans="12:20" x14ac:dyDescent="0.35">
      <c r="L1552" t="str">
        <f ca="1">IFERROR(_xludf.XLOOKUP(C1552,CodePath_Defaults!A:A,CodePath_Defaults!D:D,""),IFERROR(_xludf.XLOOKUP(B1552,CodePath_Defaults!B:B,CodePath_Defaults!D:D,""),""))</f>
        <v/>
      </c>
      <c r="T1552" t="s">
        <v>801</v>
      </c>
    </row>
    <row r="1553" spans="12:20" x14ac:dyDescent="0.35">
      <c r="L1553" t="str">
        <f ca="1">IFERROR(_xludf.XLOOKUP(C1553,CodePath_Defaults!A:A,CodePath_Defaults!D:D,""),IFERROR(_xludf.XLOOKUP(B1553,CodePath_Defaults!B:B,CodePath_Defaults!D:D,""),""))</f>
        <v/>
      </c>
      <c r="T1553" t="s">
        <v>801</v>
      </c>
    </row>
    <row r="1554" spans="12:20" x14ac:dyDescent="0.35">
      <c r="L1554" t="str">
        <f ca="1">IFERROR(_xludf.XLOOKUP(C1554,CodePath_Defaults!A:A,CodePath_Defaults!D:D,""),IFERROR(_xludf.XLOOKUP(B1554,CodePath_Defaults!B:B,CodePath_Defaults!D:D,""),""))</f>
        <v/>
      </c>
      <c r="T1554" t="s">
        <v>801</v>
      </c>
    </row>
    <row r="1555" spans="12:20" x14ac:dyDescent="0.35">
      <c r="L1555" t="str">
        <f ca="1">IFERROR(_xludf.XLOOKUP(C1555,CodePath_Defaults!A:A,CodePath_Defaults!D:D,""),IFERROR(_xludf.XLOOKUP(B1555,CodePath_Defaults!B:B,CodePath_Defaults!D:D,""),""))</f>
        <v/>
      </c>
      <c r="T1555" t="s">
        <v>801</v>
      </c>
    </row>
    <row r="1556" spans="12:20" x14ac:dyDescent="0.35">
      <c r="L1556" t="str">
        <f ca="1">IFERROR(_xludf.XLOOKUP(C1556,CodePath_Defaults!A:A,CodePath_Defaults!D:D,""),IFERROR(_xludf.XLOOKUP(B1556,CodePath_Defaults!B:B,CodePath_Defaults!D:D,""),""))</f>
        <v/>
      </c>
      <c r="T1556" t="s">
        <v>801</v>
      </c>
    </row>
    <row r="1557" spans="12:20" x14ac:dyDescent="0.35">
      <c r="L1557" t="str">
        <f ca="1">IFERROR(_xludf.XLOOKUP(C1557,CodePath_Defaults!A:A,CodePath_Defaults!D:D,""),IFERROR(_xludf.XLOOKUP(B1557,CodePath_Defaults!B:B,CodePath_Defaults!D:D,""),""))</f>
        <v/>
      </c>
      <c r="T1557" t="s">
        <v>801</v>
      </c>
    </row>
    <row r="1558" spans="12:20" x14ac:dyDescent="0.35">
      <c r="L1558" t="str">
        <f ca="1">IFERROR(_xludf.XLOOKUP(C1558,CodePath_Defaults!A:A,CodePath_Defaults!D:D,""),IFERROR(_xludf.XLOOKUP(B1558,CodePath_Defaults!B:B,CodePath_Defaults!D:D,""),""))</f>
        <v/>
      </c>
      <c r="T1558" t="s">
        <v>801</v>
      </c>
    </row>
    <row r="1559" spans="12:20" x14ac:dyDescent="0.35">
      <c r="L1559" t="str">
        <f ca="1">IFERROR(_xludf.XLOOKUP(C1559,CodePath_Defaults!A:A,CodePath_Defaults!D:D,""),IFERROR(_xludf.XLOOKUP(B1559,CodePath_Defaults!B:B,CodePath_Defaults!D:D,""),""))</f>
        <v/>
      </c>
      <c r="T1559" t="s">
        <v>801</v>
      </c>
    </row>
    <row r="1560" spans="12:20" x14ac:dyDescent="0.35">
      <c r="L1560" t="str">
        <f ca="1">IFERROR(_xludf.XLOOKUP(C1560,CodePath_Defaults!A:A,CodePath_Defaults!D:D,""),IFERROR(_xludf.XLOOKUP(B1560,CodePath_Defaults!B:B,CodePath_Defaults!D:D,""),""))</f>
        <v/>
      </c>
      <c r="T1560" t="s">
        <v>801</v>
      </c>
    </row>
    <row r="1561" spans="12:20" x14ac:dyDescent="0.35">
      <c r="L1561" t="str">
        <f ca="1">IFERROR(_xludf.XLOOKUP(C1561,CodePath_Defaults!A:A,CodePath_Defaults!D:D,""),IFERROR(_xludf.XLOOKUP(B1561,CodePath_Defaults!B:B,CodePath_Defaults!D:D,""),""))</f>
        <v/>
      </c>
      <c r="T1561" t="s">
        <v>801</v>
      </c>
    </row>
    <row r="1562" spans="12:20" x14ac:dyDescent="0.35">
      <c r="L1562" t="str">
        <f ca="1">IFERROR(_xludf.XLOOKUP(C1562,CodePath_Defaults!A:A,CodePath_Defaults!D:D,""),IFERROR(_xludf.XLOOKUP(B1562,CodePath_Defaults!B:B,CodePath_Defaults!D:D,""),""))</f>
        <v/>
      </c>
      <c r="T1562" t="s">
        <v>801</v>
      </c>
    </row>
    <row r="1563" spans="12:20" x14ac:dyDescent="0.35">
      <c r="L1563" t="str">
        <f ca="1">IFERROR(_xludf.XLOOKUP(C1563,CodePath_Defaults!A:A,CodePath_Defaults!D:D,""),IFERROR(_xludf.XLOOKUP(B1563,CodePath_Defaults!B:B,CodePath_Defaults!D:D,""),""))</f>
        <v/>
      </c>
      <c r="T1563" t="s">
        <v>801</v>
      </c>
    </row>
    <row r="1564" spans="12:20" x14ac:dyDescent="0.35">
      <c r="L1564" t="str">
        <f ca="1">IFERROR(_xludf.XLOOKUP(C1564,CodePath_Defaults!A:A,CodePath_Defaults!D:D,""),IFERROR(_xludf.XLOOKUP(B1564,CodePath_Defaults!B:B,CodePath_Defaults!D:D,""),""))</f>
        <v/>
      </c>
      <c r="T1564" t="s">
        <v>801</v>
      </c>
    </row>
    <row r="1565" spans="12:20" x14ac:dyDescent="0.35">
      <c r="L1565" t="str">
        <f ca="1">IFERROR(_xludf.XLOOKUP(C1565,CodePath_Defaults!A:A,CodePath_Defaults!D:D,""),IFERROR(_xludf.XLOOKUP(B1565,CodePath_Defaults!B:B,CodePath_Defaults!D:D,""),""))</f>
        <v/>
      </c>
      <c r="T1565" t="s">
        <v>801</v>
      </c>
    </row>
    <row r="1566" spans="12:20" x14ac:dyDescent="0.35">
      <c r="L1566" t="str">
        <f ca="1">IFERROR(_xludf.XLOOKUP(C1566,CodePath_Defaults!A:A,CodePath_Defaults!D:D,""),IFERROR(_xludf.XLOOKUP(B1566,CodePath_Defaults!B:B,CodePath_Defaults!D:D,""),""))</f>
        <v/>
      </c>
      <c r="T1566" t="s">
        <v>801</v>
      </c>
    </row>
    <row r="1567" spans="12:20" x14ac:dyDescent="0.35">
      <c r="L1567" t="str">
        <f ca="1">IFERROR(_xludf.XLOOKUP(C1567,CodePath_Defaults!A:A,CodePath_Defaults!D:D,""),IFERROR(_xludf.XLOOKUP(B1567,CodePath_Defaults!B:B,CodePath_Defaults!D:D,""),""))</f>
        <v/>
      </c>
      <c r="T1567" t="s">
        <v>801</v>
      </c>
    </row>
    <row r="1568" spans="12:20" x14ac:dyDescent="0.35">
      <c r="L1568" t="str">
        <f ca="1">IFERROR(_xludf.XLOOKUP(C1568,CodePath_Defaults!A:A,CodePath_Defaults!D:D,""),IFERROR(_xludf.XLOOKUP(B1568,CodePath_Defaults!B:B,CodePath_Defaults!D:D,""),""))</f>
        <v/>
      </c>
      <c r="T1568" t="s">
        <v>801</v>
      </c>
    </row>
    <row r="1569" spans="12:20" x14ac:dyDescent="0.35">
      <c r="L1569" t="str">
        <f ca="1">IFERROR(_xludf.XLOOKUP(C1569,CodePath_Defaults!A:A,CodePath_Defaults!D:D,""),IFERROR(_xludf.XLOOKUP(B1569,CodePath_Defaults!B:B,CodePath_Defaults!D:D,""),""))</f>
        <v/>
      </c>
      <c r="T1569" t="s">
        <v>801</v>
      </c>
    </row>
    <row r="1570" spans="12:20" x14ac:dyDescent="0.35">
      <c r="L1570" t="str">
        <f ca="1">IFERROR(_xludf.XLOOKUP(C1570,CodePath_Defaults!A:A,CodePath_Defaults!D:D,""),IFERROR(_xludf.XLOOKUP(B1570,CodePath_Defaults!B:B,CodePath_Defaults!D:D,""),""))</f>
        <v/>
      </c>
      <c r="T1570" t="s">
        <v>801</v>
      </c>
    </row>
    <row r="1571" spans="12:20" x14ac:dyDescent="0.35">
      <c r="L1571" t="str">
        <f ca="1">IFERROR(_xludf.XLOOKUP(C1571,CodePath_Defaults!A:A,CodePath_Defaults!D:D,""),IFERROR(_xludf.XLOOKUP(B1571,CodePath_Defaults!B:B,CodePath_Defaults!D:D,""),""))</f>
        <v/>
      </c>
      <c r="T1571" t="s">
        <v>801</v>
      </c>
    </row>
    <row r="1572" spans="12:20" x14ac:dyDescent="0.35">
      <c r="L1572" t="str">
        <f ca="1">IFERROR(_xludf.XLOOKUP(C1572,CodePath_Defaults!A:A,CodePath_Defaults!D:D,""),IFERROR(_xludf.XLOOKUP(B1572,CodePath_Defaults!B:B,CodePath_Defaults!D:D,""),""))</f>
        <v/>
      </c>
      <c r="T1572" t="s">
        <v>801</v>
      </c>
    </row>
    <row r="1573" spans="12:20" x14ac:dyDescent="0.35">
      <c r="L1573" t="str">
        <f ca="1">IFERROR(_xludf.XLOOKUP(C1573,CodePath_Defaults!A:A,CodePath_Defaults!D:D,""),IFERROR(_xludf.XLOOKUP(B1573,CodePath_Defaults!B:B,CodePath_Defaults!D:D,""),""))</f>
        <v/>
      </c>
      <c r="T1573" t="s">
        <v>801</v>
      </c>
    </row>
    <row r="1574" spans="12:20" x14ac:dyDescent="0.35">
      <c r="L1574" t="str">
        <f ca="1">IFERROR(_xludf.XLOOKUP(C1574,CodePath_Defaults!A:A,CodePath_Defaults!D:D,""),IFERROR(_xludf.XLOOKUP(B1574,CodePath_Defaults!B:B,CodePath_Defaults!D:D,""),""))</f>
        <v/>
      </c>
      <c r="T1574" t="s">
        <v>801</v>
      </c>
    </row>
    <row r="1575" spans="12:20" x14ac:dyDescent="0.35">
      <c r="L1575" t="str">
        <f ca="1">IFERROR(_xludf.XLOOKUP(C1575,CodePath_Defaults!A:A,CodePath_Defaults!D:D,""),IFERROR(_xludf.XLOOKUP(B1575,CodePath_Defaults!B:B,CodePath_Defaults!D:D,""),""))</f>
        <v/>
      </c>
      <c r="T1575" t="s">
        <v>801</v>
      </c>
    </row>
    <row r="1576" spans="12:20" x14ac:dyDescent="0.35">
      <c r="L1576" t="str">
        <f ca="1">IFERROR(_xludf.XLOOKUP(C1576,CodePath_Defaults!A:A,CodePath_Defaults!D:D,""),IFERROR(_xludf.XLOOKUP(B1576,CodePath_Defaults!B:B,CodePath_Defaults!D:D,""),""))</f>
        <v/>
      </c>
      <c r="T1576" t="s">
        <v>801</v>
      </c>
    </row>
    <row r="1577" spans="12:20" x14ac:dyDescent="0.35">
      <c r="L1577" t="str">
        <f ca="1">IFERROR(_xludf.XLOOKUP(C1577,CodePath_Defaults!A:A,CodePath_Defaults!D:D,""),IFERROR(_xludf.XLOOKUP(B1577,CodePath_Defaults!B:B,CodePath_Defaults!D:D,""),""))</f>
        <v/>
      </c>
      <c r="T1577" t="s">
        <v>801</v>
      </c>
    </row>
    <row r="1578" spans="12:20" x14ac:dyDescent="0.35">
      <c r="L1578" t="str">
        <f ca="1">IFERROR(_xludf.XLOOKUP(C1578,CodePath_Defaults!A:A,CodePath_Defaults!D:D,""),IFERROR(_xludf.XLOOKUP(B1578,CodePath_Defaults!B:B,CodePath_Defaults!D:D,""),""))</f>
        <v/>
      </c>
      <c r="T1578" t="s">
        <v>801</v>
      </c>
    </row>
    <row r="1579" spans="12:20" x14ac:dyDescent="0.35">
      <c r="L1579" t="str">
        <f ca="1">IFERROR(_xludf.XLOOKUP(C1579,CodePath_Defaults!A:A,CodePath_Defaults!D:D,""),IFERROR(_xludf.XLOOKUP(B1579,CodePath_Defaults!B:B,CodePath_Defaults!D:D,""),""))</f>
        <v/>
      </c>
      <c r="T1579" t="s">
        <v>801</v>
      </c>
    </row>
    <row r="1580" spans="12:20" x14ac:dyDescent="0.35">
      <c r="L1580" t="str">
        <f ca="1">IFERROR(_xludf.XLOOKUP(C1580,CodePath_Defaults!A:A,CodePath_Defaults!D:D,""),IFERROR(_xludf.XLOOKUP(B1580,CodePath_Defaults!B:B,CodePath_Defaults!D:D,""),""))</f>
        <v/>
      </c>
      <c r="T1580" t="s">
        <v>801</v>
      </c>
    </row>
    <row r="1581" spans="12:20" x14ac:dyDescent="0.35">
      <c r="L1581" t="str">
        <f ca="1">IFERROR(_xludf.XLOOKUP(C1581,CodePath_Defaults!A:A,CodePath_Defaults!D:D,""),IFERROR(_xludf.XLOOKUP(B1581,CodePath_Defaults!B:B,CodePath_Defaults!D:D,""),""))</f>
        <v/>
      </c>
      <c r="T1581" t="s">
        <v>801</v>
      </c>
    </row>
    <row r="1582" spans="12:20" x14ac:dyDescent="0.35">
      <c r="L1582" t="str">
        <f ca="1">IFERROR(_xludf.XLOOKUP(C1582,CodePath_Defaults!A:A,CodePath_Defaults!D:D,""),IFERROR(_xludf.XLOOKUP(B1582,CodePath_Defaults!B:B,CodePath_Defaults!D:D,""),""))</f>
        <v/>
      </c>
      <c r="T1582" t="s">
        <v>801</v>
      </c>
    </row>
    <row r="1583" spans="12:20" x14ac:dyDescent="0.35">
      <c r="L1583" t="str">
        <f ca="1">IFERROR(_xludf.XLOOKUP(C1583,CodePath_Defaults!A:A,CodePath_Defaults!D:D,""),IFERROR(_xludf.XLOOKUP(B1583,CodePath_Defaults!B:B,CodePath_Defaults!D:D,""),""))</f>
        <v/>
      </c>
      <c r="T1583" t="s">
        <v>801</v>
      </c>
    </row>
    <row r="1584" spans="12:20" x14ac:dyDescent="0.35">
      <c r="L1584" t="str">
        <f ca="1">IFERROR(_xludf.XLOOKUP(C1584,CodePath_Defaults!A:A,CodePath_Defaults!D:D,""),IFERROR(_xludf.XLOOKUP(B1584,CodePath_Defaults!B:B,CodePath_Defaults!D:D,""),""))</f>
        <v/>
      </c>
      <c r="T1584" t="s">
        <v>801</v>
      </c>
    </row>
    <row r="1585" spans="12:20" x14ac:dyDescent="0.35">
      <c r="L1585" t="str">
        <f ca="1">IFERROR(_xludf.XLOOKUP(C1585,CodePath_Defaults!A:A,CodePath_Defaults!D:D,""),IFERROR(_xludf.XLOOKUP(B1585,CodePath_Defaults!B:B,CodePath_Defaults!D:D,""),""))</f>
        <v/>
      </c>
      <c r="T1585" t="s">
        <v>801</v>
      </c>
    </row>
    <row r="1586" spans="12:20" x14ac:dyDescent="0.35">
      <c r="L1586" t="str">
        <f ca="1">IFERROR(_xludf.XLOOKUP(C1586,CodePath_Defaults!A:A,CodePath_Defaults!D:D,""),IFERROR(_xludf.XLOOKUP(B1586,CodePath_Defaults!B:B,CodePath_Defaults!D:D,""),""))</f>
        <v/>
      </c>
      <c r="T1586" t="s">
        <v>801</v>
      </c>
    </row>
    <row r="1587" spans="12:20" x14ac:dyDescent="0.35">
      <c r="L1587" t="str">
        <f ca="1">IFERROR(_xludf.XLOOKUP(C1587,CodePath_Defaults!A:A,CodePath_Defaults!D:D,""),IFERROR(_xludf.XLOOKUP(B1587,CodePath_Defaults!B:B,CodePath_Defaults!D:D,""),""))</f>
        <v/>
      </c>
      <c r="T1587" t="s">
        <v>801</v>
      </c>
    </row>
    <row r="1588" spans="12:20" x14ac:dyDescent="0.35">
      <c r="L1588" t="str">
        <f ca="1">IFERROR(_xludf.XLOOKUP(C1588,CodePath_Defaults!A:A,CodePath_Defaults!D:D,""),IFERROR(_xludf.XLOOKUP(B1588,CodePath_Defaults!B:B,CodePath_Defaults!D:D,""),""))</f>
        <v/>
      </c>
      <c r="T1588" t="s">
        <v>801</v>
      </c>
    </row>
    <row r="1589" spans="12:20" x14ac:dyDescent="0.35">
      <c r="L1589" t="str">
        <f ca="1">IFERROR(_xludf.XLOOKUP(C1589,CodePath_Defaults!A:A,CodePath_Defaults!D:D,""),IFERROR(_xludf.XLOOKUP(B1589,CodePath_Defaults!B:B,CodePath_Defaults!D:D,""),""))</f>
        <v/>
      </c>
      <c r="T1589" t="s">
        <v>801</v>
      </c>
    </row>
    <row r="1590" spans="12:20" x14ac:dyDescent="0.35">
      <c r="L1590" t="str">
        <f ca="1">IFERROR(_xludf.XLOOKUP(C1590,CodePath_Defaults!A:A,CodePath_Defaults!D:D,""),IFERROR(_xludf.XLOOKUP(B1590,CodePath_Defaults!B:B,CodePath_Defaults!D:D,""),""))</f>
        <v/>
      </c>
      <c r="T1590" t="s">
        <v>801</v>
      </c>
    </row>
    <row r="1591" spans="12:20" x14ac:dyDescent="0.35">
      <c r="L1591" t="str">
        <f ca="1">IFERROR(_xludf.XLOOKUP(C1591,CodePath_Defaults!A:A,CodePath_Defaults!D:D,""),IFERROR(_xludf.XLOOKUP(B1591,CodePath_Defaults!B:B,CodePath_Defaults!D:D,""),""))</f>
        <v/>
      </c>
      <c r="T1591" t="s">
        <v>801</v>
      </c>
    </row>
    <row r="1592" spans="12:20" x14ac:dyDescent="0.35">
      <c r="L1592" t="str">
        <f ca="1">IFERROR(_xludf.XLOOKUP(C1592,CodePath_Defaults!A:A,CodePath_Defaults!D:D,""),IFERROR(_xludf.XLOOKUP(B1592,CodePath_Defaults!B:B,CodePath_Defaults!D:D,""),""))</f>
        <v/>
      </c>
      <c r="T1592" t="s">
        <v>801</v>
      </c>
    </row>
    <row r="1593" spans="12:20" x14ac:dyDescent="0.35">
      <c r="L1593" t="str">
        <f ca="1">IFERROR(_xludf.XLOOKUP(C1593,CodePath_Defaults!A:A,CodePath_Defaults!D:D,""),IFERROR(_xludf.XLOOKUP(B1593,CodePath_Defaults!B:B,CodePath_Defaults!D:D,""),""))</f>
        <v/>
      </c>
      <c r="T1593" t="s">
        <v>801</v>
      </c>
    </row>
    <row r="1594" spans="12:20" x14ac:dyDescent="0.35">
      <c r="L1594" t="str">
        <f ca="1">IFERROR(_xludf.XLOOKUP(C1594,CodePath_Defaults!A:A,CodePath_Defaults!D:D,""),IFERROR(_xludf.XLOOKUP(B1594,CodePath_Defaults!B:B,CodePath_Defaults!D:D,""),""))</f>
        <v/>
      </c>
      <c r="T1594" t="s">
        <v>801</v>
      </c>
    </row>
    <row r="1595" spans="12:20" x14ac:dyDescent="0.35">
      <c r="L1595" t="str">
        <f ca="1">IFERROR(_xludf.XLOOKUP(C1595,CodePath_Defaults!A:A,CodePath_Defaults!D:D,""),IFERROR(_xludf.XLOOKUP(B1595,CodePath_Defaults!B:B,CodePath_Defaults!D:D,""),""))</f>
        <v/>
      </c>
      <c r="T1595" t="s">
        <v>801</v>
      </c>
    </row>
    <row r="1596" spans="12:20" x14ac:dyDescent="0.35">
      <c r="L1596" t="str">
        <f ca="1">IFERROR(_xludf.XLOOKUP(C1596,CodePath_Defaults!A:A,CodePath_Defaults!D:D,""),IFERROR(_xludf.XLOOKUP(B1596,CodePath_Defaults!B:B,CodePath_Defaults!D:D,""),""))</f>
        <v/>
      </c>
      <c r="T1596" t="s">
        <v>801</v>
      </c>
    </row>
    <row r="1597" spans="12:20" x14ac:dyDescent="0.35">
      <c r="L1597" t="str">
        <f ca="1">IFERROR(_xludf.XLOOKUP(C1597,CodePath_Defaults!A:A,CodePath_Defaults!D:D,""),IFERROR(_xludf.XLOOKUP(B1597,CodePath_Defaults!B:B,CodePath_Defaults!D:D,""),""))</f>
        <v/>
      </c>
      <c r="T1597" t="s">
        <v>801</v>
      </c>
    </row>
    <row r="1598" spans="12:20" x14ac:dyDescent="0.35">
      <c r="L1598" t="str">
        <f ca="1">IFERROR(_xludf.XLOOKUP(C1598,CodePath_Defaults!A:A,CodePath_Defaults!D:D,""),IFERROR(_xludf.XLOOKUP(B1598,CodePath_Defaults!B:B,CodePath_Defaults!D:D,""),""))</f>
        <v/>
      </c>
      <c r="T1598" t="s">
        <v>801</v>
      </c>
    </row>
    <row r="1599" spans="12:20" x14ac:dyDescent="0.35">
      <c r="L1599" t="str">
        <f ca="1">IFERROR(_xludf.XLOOKUP(C1599,CodePath_Defaults!A:A,CodePath_Defaults!D:D,""),IFERROR(_xludf.XLOOKUP(B1599,CodePath_Defaults!B:B,CodePath_Defaults!D:D,""),""))</f>
        <v/>
      </c>
      <c r="T1599" t="s">
        <v>801</v>
      </c>
    </row>
    <row r="1600" spans="12:20" x14ac:dyDescent="0.35">
      <c r="L1600" t="str">
        <f ca="1">IFERROR(_xludf.XLOOKUP(C1600,CodePath_Defaults!A:A,CodePath_Defaults!D:D,""),IFERROR(_xludf.XLOOKUP(B1600,CodePath_Defaults!B:B,CodePath_Defaults!D:D,""),""))</f>
        <v/>
      </c>
      <c r="T1600" t="s">
        <v>801</v>
      </c>
    </row>
    <row r="1601" spans="12:20" x14ac:dyDescent="0.35">
      <c r="L1601" t="str">
        <f ca="1">IFERROR(_xludf.XLOOKUP(C1601,CodePath_Defaults!A:A,CodePath_Defaults!D:D,""),IFERROR(_xludf.XLOOKUP(B1601,CodePath_Defaults!B:B,CodePath_Defaults!D:D,""),""))</f>
        <v/>
      </c>
      <c r="T1601" t="s">
        <v>801</v>
      </c>
    </row>
    <row r="1602" spans="12:20" x14ac:dyDescent="0.35">
      <c r="L1602" t="str">
        <f ca="1">IFERROR(_xludf.XLOOKUP(C1602,CodePath_Defaults!A:A,CodePath_Defaults!D:D,""),IFERROR(_xludf.XLOOKUP(B1602,CodePath_Defaults!B:B,CodePath_Defaults!D:D,""),""))</f>
        <v/>
      </c>
      <c r="T1602" t="s">
        <v>801</v>
      </c>
    </row>
    <row r="1603" spans="12:20" x14ac:dyDescent="0.35">
      <c r="L1603" t="str">
        <f ca="1">IFERROR(_xludf.XLOOKUP(C1603,CodePath_Defaults!A:A,CodePath_Defaults!D:D,""),IFERROR(_xludf.XLOOKUP(B1603,CodePath_Defaults!B:B,CodePath_Defaults!D:D,""),""))</f>
        <v/>
      </c>
      <c r="T1603" t="s">
        <v>801</v>
      </c>
    </row>
    <row r="1604" spans="12:20" x14ac:dyDescent="0.35">
      <c r="L1604" t="str">
        <f ca="1">IFERROR(_xludf.XLOOKUP(C1604,CodePath_Defaults!A:A,CodePath_Defaults!D:D,""),IFERROR(_xludf.XLOOKUP(B1604,CodePath_Defaults!B:B,CodePath_Defaults!D:D,""),""))</f>
        <v/>
      </c>
      <c r="T1604" t="s">
        <v>801</v>
      </c>
    </row>
    <row r="1605" spans="12:20" x14ac:dyDescent="0.35">
      <c r="L1605" t="str">
        <f ca="1">IFERROR(_xludf.XLOOKUP(C1605,CodePath_Defaults!A:A,CodePath_Defaults!D:D,""),IFERROR(_xludf.XLOOKUP(B1605,CodePath_Defaults!B:B,CodePath_Defaults!D:D,""),""))</f>
        <v/>
      </c>
      <c r="T1605" t="s">
        <v>801</v>
      </c>
    </row>
    <row r="1606" spans="12:20" x14ac:dyDescent="0.35">
      <c r="L1606" t="str">
        <f ca="1">IFERROR(_xludf.XLOOKUP(C1606,CodePath_Defaults!A:A,CodePath_Defaults!D:D,""),IFERROR(_xludf.XLOOKUP(B1606,CodePath_Defaults!B:B,CodePath_Defaults!D:D,""),""))</f>
        <v/>
      </c>
      <c r="T1606" t="s">
        <v>801</v>
      </c>
    </row>
    <row r="1607" spans="12:20" x14ac:dyDescent="0.35">
      <c r="L1607" t="str">
        <f ca="1">IFERROR(_xludf.XLOOKUP(C1607,CodePath_Defaults!A:A,CodePath_Defaults!D:D,""),IFERROR(_xludf.XLOOKUP(B1607,CodePath_Defaults!B:B,CodePath_Defaults!D:D,""),""))</f>
        <v/>
      </c>
      <c r="T1607" t="s">
        <v>801</v>
      </c>
    </row>
    <row r="1608" spans="12:20" x14ac:dyDescent="0.35">
      <c r="L1608" t="str">
        <f ca="1">IFERROR(_xludf.XLOOKUP(C1608,CodePath_Defaults!A:A,CodePath_Defaults!D:D,""),IFERROR(_xludf.XLOOKUP(B1608,CodePath_Defaults!B:B,CodePath_Defaults!D:D,""),""))</f>
        <v/>
      </c>
      <c r="T1608" t="s">
        <v>801</v>
      </c>
    </row>
    <row r="1609" spans="12:20" x14ac:dyDescent="0.35">
      <c r="L1609" t="str">
        <f ca="1">IFERROR(_xludf.XLOOKUP(C1609,CodePath_Defaults!A:A,CodePath_Defaults!D:D,""),IFERROR(_xludf.XLOOKUP(B1609,CodePath_Defaults!B:B,CodePath_Defaults!D:D,""),""))</f>
        <v/>
      </c>
      <c r="T1609" t="s">
        <v>801</v>
      </c>
    </row>
    <row r="1610" spans="12:20" x14ac:dyDescent="0.35">
      <c r="L1610" t="str">
        <f ca="1">IFERROR(_xludf.XLOOKUP(C1610,CodePath_Defaults!A:A,CodePath_Defaults!D:D,""),IFERROR(_xludf.XLOOKUP(B1610,CodePath_Defaults!B:B,CodePath_Defaults!D:D,""),""))</f>
        <v/>
      </c>
      <c r="T1610" t="s">
        <v>801</v>
      </c>
    </row>
    <row r="1611" spans="12:20" x14ac:dyDescent="0.35">
      <c r="L1611" t="str">
        <f ca="1">IFERROR(_xludf.XLOOKUP(C1611,CodePath_Defaults!A:A,CodePath_Defaults!D:D,""),IFERROR(_xludf.XLOOKUP(B1611,CodePath_Defaults!B:B,CodePath_Defaults!D:D,""),""))</f>
        <v/>
      </c>
      <c r="T1611" t="s">
        <v>801</v>
      </c>
    </row>
    <row r="1612" spans="12:20" x14ac:dyDescent="0.35">
      <c r="L1612" t="str">
        <f ca="1">IFERROR(_xludf.XLOOKUP(C1612,CodePath_Defaults!A:A,CodePath_Defaults!D:D,""),IFERROR(_xludf.XLOOKUP(B1612,CodePath_Defaults!B:B,CodePath_Defaults!D:D,""),""))</f>
        <v/>
      </c>
      <c r="T1612" t="s">
        <v>801</v>
      </c>
    </row>
    <row r="1613" spans="12:20" x14ac:dyDescent="0.35">
      <c r="L1613" t="str">
        <f ca="1">IFERROR(_xludf.XLOOKUP(C1613,CodePath_Defaults!A:A,CodePath_Defaults!D:D,""),IFERROR(_xludf.XLOOKUP(B1613,CodePath_Defaults!B:B,CodePath_Defaults!D:D,""),""))</f>
        <v/>
      </c>
      <c r="T1613" t="s">
        <v>801</v>
      </c>
    </row>
    <row r="1614" spans="12:20" x14ac:dyDescent="0.35">
      <c r="L1614" t="str">
        <f ca="1">IFERROR(_xludf.XLOOKUP(C1614,CodePath_Defaults!A:A,CodePath_Defaults!D:D,""),IFERROR(_xludf.XLOOKUP(B1614,CodePath_Defaults!B:B,CodePath_Defaults!D:D,""),""))</f>
        <v/>
      </c>
      <c r="T1614" t="s">
        <v>801</v>
      </c>
    </row>
    <row r="1615" spans="12:20" x14ac:dyDescent="0.35">
      <c r="L1615" t="str">
        <f ca="1">IFERROR(_xludf.XLOOKUP(C1615,CodePath_Defaults!A:A,CodePath_Defaults!D:D,""),IFERROR(_xludf.XLOOKUP(B1615,CodePath_Defaults!B:B,CodePath_Defaults!D:D,""),""))</f>
        <v/>
      </c>
      <c r="T1615" t="s">
        <v>801</v>
      </c>
    </row>
    <row r="1616" spans="12:20" x14ac:dyDescent="0.35">
      <c r="L1616" t="str">
        <f ca="1">IFERROR(_xludf.XLOOKUP(C1616,CodePath_Defaults!A:A,CodePath_Defaults!D:D,""),IFERROR(_xludf.XLOOKUP(B1616,CodePath_Defaults!B:B,CodePath_Defaults!D:D,""),""))</f>
        <v/>
      </c>
      <c r="T1616" t="s">
        <v>801</v>
      </c>
    </row>
    <row r="1617" spans="12:20" x14ac:dyDescent="0.35">
      <c r="L1617" t="str">
        <f ca="1">IFERROR(_xludf.XLOOKUP(C1617,CodePath_Defaults!A:A,CodePath_Defaults!D:D,""),IFERROR(_xludf.XLOOKUP(B1617,CodePath_Defaults!B:B,CodePath_Defaults!D:D,""),""))</f>
        <v/>
      </c>
      <c r="T1617" t="s">
        <v>801</v>
      </c>
    </row>
    <row r="1618" spans="12:20" x14ac:dyDescent="0.35">
      <c r="L1618" t="str">
        <f ca="1">IFERROR(_xludf.XLOOKUP(C1618,CodePath_Defaults!A:A,CodePath_Defaults!D:D,""),IFERROR(_xludf.XLOOKUP(B1618,CodePath_Defaults!B:B,CodePath_Defaults!D:D,""),""))</f>
        <v/>
      </c>
      <c r="T1618" t="s">
        <v>801</v>
      </c>
    </row>
    <row r="1619" spans="12:20" x14ac:dyDescent="0.35">
      <c r="L1619" t="str">
        <f ca="1">IFERROR(_xludf.XLOOKUP(C1619,CodePath_Defaults!A:A,CodePath_Defaults!D:D,""),IFERROR(_xludf.XLOOKUP(B1619,CodePath_Defaults!B:B,CodePath_Defaults!D:D,""),""))</f>
        <v/>
      </c>
      <c r="T1619" t="s">
        <v>801</v>
      </c>
    </row>
    <row r="1620" spans="12:20" x14ac:dyDescent="0.35">
      <c r="L1620" t="str">
        <f ca="1">IFERROR(_xludf.XLOOKUP(C1620,CodePath_Defaults!A:A,CodePath_Defaults!D:D,""),IFERROR(_xludf.XLOOKUP(B1620,CodePath_Defaults!B:B,CodePath_Defaults!D:D,""),""))</f>
        <v/>
      </c>
      <c r="T1620" t="s">
        <v>801</v>
      </c>
    </row>
    <row r="1621" spans="12:20" x14ac:dyDescent="0.35">
      <c r="L1621" t="str">
        <f ca="1">IFERROR(_xludf.XLOOKUP(C1621,CodePath_Defaults!A:A,CodePath_Defaults!D:D,""),IFERROR(_xludf.XLOOKUP(B1621,CodePath_Defaults!B:B,CodePath_Defaults!D:D,""),""))</f>
        <v/>
      </c>
      <c r="T1621" t="s">
        <v>801</v>
      </c>
    </row>
    <row r="1622" spans="12:20" x14ac:dyDescent="0.35">
      <c r="L1622" t="str">
        <f ca="1">IFERROR(_xludf.XLOOKUP(C1622,CodePath_Defaults!A:A,CodePath_Defaults!D:D,""),IFERROR(_xludf.XLOOKUP(B1622,CodePath_Defaults!B:B,CodePath_Defaults!D:D,""),""))</f>
        <v/>
      </c>
      <c r="T1622" t="s">
        <v>801</v>
      </c>
    </row>
    <row r="1623" spans="12:20" x14ac:dyDescent="0.35">
      <c r="L1623" t="str">
        <f ca="1">IFERROR(_xludf.XLOOKUP(C1623,CodePath_Defaults!A:A,CodePath_Defaults!D:D,""),IFERROR(_xludf.XLOOKUP(B1623,CodePath_Defaults!B:B,CodePath_Defaults!D:D,""),""))</f>
        <v/>
      </c>
      <c r="T1623" t="s">
        <v>801</v>
      </c>
    </row>
    <row r="1624" spans="12:20" x14ac:dyDescent="0.35">
      <c r="L1624" t="str">
        <f ca="1">IFERROR(_xludf.XLOOKUP(C1624,CodePath_Defaults!A:A,CodePath_Defaults!D:D,""),IFERROR(_xludf.XLOOKUP(B1624,CodePath_Defaults!B:B,CodePath_Defaults!D:D,""),""))</f>
        <v/>
      </c>
      <c r="T1624" t="s">
        <v>801</v>
      </c>
    </row>
    <row r="1625" spans="12:20" x14ac:dyDescent="0.35">
      <c r="L1625" t="str">
        <f ca="1">IFERROR(_xludf.XLOOKUP(C1625,CodePath_Defaults!A:A,CodePath_Defaults!D:D,""),IFERROR(_xludf.XLOOKUP(B1625,CodePath_Defaults!B:B,CodePath_Defaults!D:D,""),""))</f>
        <v/>
      </c>
      <c r="T1625" t="s">
        <v>801</v>
      </c>
    </row>
    <row r="1626" spans="12:20" x14ac:dyDescent="0.35">
      <c r="L1626" t="str">
        <f ca="1">IFERROR(_xludf.XLOOKUP(C1626,CodePath_Defaults!A:A,CodePath_Defaults!D:D,""),IFERROR(_xludf.XLOOKUP(B1626,CodePath_Defaults!B:B,CodePath_Defaults!D:D,""),""))</f>
        <v/>
      </c>
      <c r="T1626" t="s">
        <v>801</v>
      </c>
    </row>
    <row r="1627" spans="12:20" x14ac:dyDescent="0.35">
      <c r="L1627" t="str">
        <f ca="1">IFERROR(_xludf.XLOOKUP(C1627,CodePath_Defaults!A:A,CodePath_Defaults!D:D,""),IFERROR(_xludf.XLOOKUP(B1627,CodePath_Defaults!B:B,CodePath_Defaults!D:D,""),""))</f>
        <v/>
      </c>
      <c r="T1627" t="s">
        <v>801</v>
      </c>
    </row>
    <row r="1628" spans="12:20" x14ac:dyDescent="0.35">
      <c r="L1628" t="str">
        <f ca="1">IFERROR(_xludf.XLOOKUP(C1628,CodePath_Defaults!A:A,CodePath_Defaults!D:D,""),IFERROR(_xludf.XLOOKUP(B1628,CodePath_Defaults!B:B,CodePath_Defaults!D:D,""),""))</f>
        <v/>
      </c>
      <c r="T1628" t="s">
        <v>801</v>
      </c>
    </row>
    <row r="1629" spans="12:20" x14ac:dyDescent="0.35">
      <c r="L1629" t="str">
        <f ca="1">IFERROR(_xludf.XLOOKUP(C1629,CodePath_Defaults!A:A,CodePath_Defaults!D:D,""),IFERROR(_xludf.XLOOKUP(B1629,CodePath_Defaults!B:B,CodePath_Defaults!D:D,""),""))</f>
        <v/>
      </c>
      <c r="T1629" t="s">
        <v>801</v>
      </c>
    </row>
    <row r="1630" spans="12:20" x14ac:dyDescent="0.35">
      <c r="L1630" t="str">
        <f ca="1">IFERROR(_xludf.XLOOKUP(C1630,CodePath_Defaults!A:A,CodePath_Defaults!D:D,""),IFERROR(_xludf.XLOOKUP(B1630,CodePath_Defaults!B:B,CodePath_Defaults!D:D,""),""))</f>
        <v/>
      </c>
      <c r="T1630" t="s">
        <v>801</v>
      </c>
    </row>
    <row r="1631" spans="12:20" x14ac:dyDescent="0.35">
      <c r="L1631" t="str">
        <f ca="1">IFERROR(_xludf.XLOOKUP(C1631,CodePath_Defaults!A:A,CodePath_Defaults!D:D,""),IFERROR(_xludf.XLOOKUP(B1631,CodePath_Defaults!B:B,CodePath_Defaults!D:D,""),""))</f>
        <v/>
      </c>
      <c r="T1631" t="s">
        <v>801</v>
      </c>
    </row>
    <row r="1632" spans="12:20" x14ac:dyDescent="0.35">
      <c r="L1632" t="str">
        <f ca="1">IFERROR(_xludf.XLOOKUP(C1632,CodePath_Defaults!A:A,CodePath_Defaults!D:D,""),IFERROR(_xludf.XLOOKUP(B1632,CodePath_Defaults!B:B,CodePath_Defaults!D:D,""),""))</f>
        <v/>
      </c>
      <c r="T1632" t="s">
        <v>801</v>
      </c>
    </row>
    <row r="1633" spans="12:20" x14ac:dyDescent="0.35">
      <c r="L1633" t="str">
        <f ca="1">IFERROR(_xludf.XLOOKUP(C1633,CodePath_Defaults!A:A,CodePath_Defaults!D:D,""),IFERROR(_xludf.XLOOKUP(B1633,CodePath_Defaults!B:B,CodePath_Defaults!D:D,""),""))</f>
        <v/>
      </c>
      <c r="T1633" t="s">
        <v>801</v>
      </c>
    </row>
    <row r="1634" spans="12:20" x14ac:dyDescent="0.35">
      <c r="L1634" t="str">
        <f ca="1">IFERROR(_xludf.XLOOKUP(C1634,CodePath_Defaults!A:A,CodePath_Defaults!D:D,""),IFERROR(_xludf.XLOOKUP(B1634,CodePath_Defaults!B:B,CodePath_Defaults!D:D,""),""))</f>
        <v/>
      </c>
      <c r="T1634" t="s">
        <v>801</v>
      </c>
    </row>
    <row r="1635" spans="12:20" x14ac:dyDescent="0.35">
      <c r="L1635" t="str">
        <f ca="1">IFERROR(_xludf.XLOOKUP(C1635,CodePath_Defaults!A:A,CodePath_Defaults!D:D,""),IFERROR(_xludf.XLOOKUP(B1635,CodePath_Defaults!B:B,CodePath_Defaults!D:D,""),""))</f>
        <v/>
      </c>
      <c r="T1635" t="s">
        <v>801</v>
      </c>
    </row>
    <row r="1636" spans="12:20" x14ac:dyDescent="0.35">
      <c r="L1636" t="str">
        <f ca="1">IFERROR(_xludf.XLOOKUP(C1636,CodePath_Defaults!A:A,CodePath_Defaults!D:D,""),IFERROR(_xludf.XLOOKUP(B1636,CodePath_Defaults!B:B,CodePath_Defaults!D:D,""),""))</f>
        <v/>
      </c>
      <c r="T1636" t="s">
        <v>801</v>
      </c>
    </row>
    <row r="1637" spans="12:20" x14ac:dyDescent="0.35">
      <c r="L1637" t="str">
        <f ca="1">IFERROR(_xludf.XLOOKUP(C1637,CodePath_Defaults!A:A,CodePath_Defaults!D:D,""),IFERROR(_xludf.XLOOKUP(B1637,CodePath_Defaults!B:B,CodePath_Defaults!D:D,""),""))</f>
        <v/>
      </c>
      <c r="T1637" t="s">
        <v>801</v>
      </c>
    </row>
    <row r="1638" spans="12:20" x14ac:dyDescent="0.35">
      <c r="L1638" t="str">
        <f ca="1">IFERROR(_xludf.XLOOKUP(C1638,CodePath_Defaults!A:A,CodePath_Defaults!D:D,""),IFERROR(_xludf.XLOOKUP(B1638,CodePath_Defaults!B:B,CodePath_Defaults!D:D,""),""))</f>
        <v/>
      </c>
      <c r="T1638" t="s">
        <v>801</v>
      </c>
    </row>
    <row r="1639" spans="12:20" x14ac:dyDescent="0.35">
      <c r="L1639" t="str">
        <f ca="1">IFERROR(_xludf.XLOOKUP(C1639,CodePath_Defaults!A:A,CodePath_Defaults!D:D,""),IFERROR(_xludf.XLOOKUP(B1639,CodePath_Defaults!B:B,CodePath_Defaults!D:D,""),""))</f>
        <v/>
      </c>
      <c r="T1639" t="s">
        <v>801</v>
      </c>
    </row>
    <row r="1640" spans="12:20" x14ac:dyDescent="0.35">
      <c r="L1640" t="str">
        <f ca="1">IFERROR(_xludf.XLOOKUP(C1640,CodePath_Defaults!A:A,CodePath_Defaults!D:D,""),IFERROR(_xludf.XLOOKUP(B1640,CodePath_Defaults!B:B,CodePath_Defaults!D:D,""),""))</f>
        <v/>
      </c>
      <c r="T1640" t="s">
        <v>801</v>
      </c>
    </row>
    <row r="1641" spans="12:20" x14ac:dyDescent="0.35">
      <c r="L1641" t="str">
        <f ca="1">IFERROR(_xludf.XLOOKUP(C1641,CodePath_Defaults!A:A,CodePath_Defaults!D:D,""),IFERROR(_xludf.XLOOKUP(B1641,CodePath_Defaults!B:B,CodePath_Defaults!D:D,""),""))</f>
        <v/>
      </c>
      <c r="T1641" t="s">
        <v>801</v>
      </c>
    </row>
    <row r="1642" spans="12:20" x14ac:dyDescent="0.35">
      <c r="L1642" t="str">
        <f ca="1">IFERROR(_xludf.XLOOKUP(C1642,CodePath_Defaults!A:A,CodePath_Defaults!D:D,""),IFERROR(_xludf.XLOOKUP(B1642,CodePath_Defaults!B:B,CodePath_Defaults!D:D,""),""))</f>
        <v/>
      </c>
      <c r="T1642" t="s">
        <v>801</v>
      </c>
    </row>
    <row r="1643" spans="12:20" x14ac:dyDescent="0.35">
      <c r="L1643" t="str">
        <f ca="1">IFERROR(_xludf.XLOOKUP(C1643,CodePath_Defaults!A:A,CodePath_Defaults!D:D,""),IFERROR(_xludf.XLOOKUP(B1643,CodePath_Defaults!B:B,CodePath_Defaults!D:D,""),""))</f>
        <v/>
      </c>
      <c r="T1643" t="s">
        <v>801</v>
      </c>
    </row>
    <row r="1644" spans="12:20" x14ac:dyDescent="0.35">
      <c r="L1644" t="str">
        <f ca="1">IFERROR(_xludf.XLOOKUP(C1644,CodePath_Defaults!A:A,CodePath_Defaults!D:D,""),IFERROR(_xludf.XLOOKUP(B1644,CodePath_Defaults!B:B,CodePath_Defaults!D:D,""),""))</f>
        <v/>
      </c>
      <c r="T1644" t="s">
        <v>801</v>
      </c>
    </row>
    <row r="1645" spans="12:20" x14ac:dyDescent="0.35">
      <c r="L1645" t="str">
        <f ca="1">IFERROR(_xludf.XLOOKUP(C1645,CodePath_Defaults!A:A,CodePath_Defaults!D:D,""),IFERROR(_xludf.XLOOKUP(B1645,CodePath_Defaults!B:B,CodePath_Defaults!D:D,""),""))</f>
        <v/>
      </c>
      <c r="T1645" t="s">
        <v>801</v>
      </c>
    </row>
    <row r="1646" spans="12:20" x14ac:dyDescent="0.35">
      <c r="L1646" t="str">
        <f ca="1">IFERROR(_xludf.XLOOKUP(C1646,CodePath_Defaults!A:A,CodePath_Defaults!D:D,""),IFERROR(_xludf.XLOOKUP(B1646,CodePath_Defaults!B:B,CodePath_Defaults!D:D,""),""))</f>
        <v/>
      </c>
      <c r="T1646" t="s">
        <v>801</v>
      </c>
    </row>
    <row r="1647" spans="12:20" x14ac:dyDescent="0.35">
      <c r="L1647" t="str">
        <f ca="1">IFERROR(_xludf.XLOOKUP(C1647,CodePath_Defaults!A:A,CodePath_Defaults!D:D,""),IFERROR(_xludf.XLOOKUP(B1647,CodePath_Defaults!B:B,CodePath_Defaults!D:D,""),""))</f>
        <v/>
      </c>
      <c r="T1647" t="s">
        <v>801</v>
      </c>
    </row>
    <row r="1648" spans="12:20" x14ac:dyDescent="0.35">
      <c r="L1648" t="str">
        <f ca="1">IFERROR(_xludf.XLOOKUP(C1648,CodePath_Defaults!A:A,CodePath_Defaults!D:D,""),IFERROR(_xludf.XLOOKUP(B1648,CodePath_Defaults!B:B,CodePath_Defaults!D:D,""),""))</f>
        <v/>
      </c>
      <c r="T1648" t="s">
        <v>801</v>
      </c>
    </row>
    <row r="1649" spans="12:20" x14ac:dyDescent="0.35">
      <c r="L1649" t="str">
        <f ca="1">IFERROR(_xludf.XLOOKUP(C1649,CodePath_Defaults!A:A,CodePath_Defaults!D:D,""),IFERROR(_xludf.XLOOKUP(B1649,CodePath_Defaults!B:B,CodePath_Defaults!D:D,""),""))</f>
        <v/>
      </c>
      <c r="T1649" t="s">
        <v>801</v>
      </c>
    </row>
    <row r="1650" spans="12:20" x14ac:dyDescent="0.35">
      <c r="L1650" t="str">
        <f ca="1">IFERROR(_xludf.XLOOKUP(C1650,CodePath_Defaults!A:A,CodePath_Defaults!D:D,""),IFERROR(_xludf.XLOOKUP(B1650,CodePath_Defaults!B:B,CodePath_Defaults!D:D,""),""))</f>
        <v/>
      </c>
      <c r="T1650" t="s">
        <v>801</v>
      </c>
    </row>
    <row r="1651" spans="12:20" x14ac:dyDescent="0.35">
      <c r="L1651" t="str">
        <f ca="1">IFERROR(_xludf.XLOOKUP(C1651,CodePath_Defaults!A:A,CodePath_Defaults!D:D,""),IFERROR(_xludf.XLOOKUP(B1651,CodePath_Defaults!B:B,CodePath_Defaults!D:D,""),""))</f>
        <v/>
      </c>
      <c r="T1651" t="s">
        <v>801</v>
      </c>
    </row>
    <row r="1652" spans="12:20" x14ac:dyDescent="0.35">
      <c r="L1652" t="str">
        <f ca="1">IFERROR(_xludf.XLOOKUP(C1652,CodePath_Defaults!A:A,CodePath_Defaults!D:D,""),IFERROR(_xludf.XLOOKUP(B1652,CodePath_Defaults!B:B,CodePath_Defaults!D:D,""),""))</f>
        <v/>
      </c>
      <c r="T1652" t="s">
        <v>801</v>
      </c>
    </row>
    <row r="1653" spans="12:20" x14ac:dyDescent="0.35">
      <c r="L1653" t="str">
        <f ca="1">IFERROR(_xludf.XLOOKUP(C1653,CodePath_Defaults!A:A,CodePath_Defaults!D:D,""),IFERROR(_xludf.XLOOKUP(B1653,CodePath_Defaults!B:B,CodePath_Defaults!D:D,""),""))</f>
        <v/>
      </c>
      <c r="T1653" t="s">
        <v>801</v>
      </c>
    </row>
    <row r="1654" spans="12:20" x14ac:dyDescent="0.35">
      <c r="L1654" t="str">
        <f ca="1">IFERROR(_xludf.XLOOKUP(C1654,CodePath_Defaults!A:A,CodePath_Defaults!D:D,""),IFERROR(_xludf.XLOOKUP(B1654,CodePath_Defaults!B:B,CodePath_Defaults!D:D,""),""))</f>
        <v/>
      </c>
      <c r="T1654" t="s">
        <v>801</v>
      </c>
    </row>
    <row r="1655" spans="12:20" x14ac:dyDescent="0.35">
      <c r="L1655" t="str">
        <f ca="1">IFERROR(_xludf.XLOOKUP(C1655,CodePath_Defaults!A:A,CodePath_Defaults!D:D,""),IFERROR(_xludf.XLOOKUP(B1655,CodePath_Defaults!B:B,CodePath_Defaults!D:D,""),""))</f>
        <v/>
      </c>
      <c r="T1655" t="s">
        <v>801</v>
      </c>
    </row>
    <row r="1656" spans="12:20" x14ac:dyDescent="0.35">
      <c r="L1656" t="str">
        <f ca="1">IFERROR(_xludf.XLOOKUP(C1656,CodePath_Defaults!A:A,CodePath_Defaults!D:D,""),IFERROR(_xludf.XLOOKUP(B1656,CodePath_Defaults!B:B,CodePath_Defaults!D:D,""),""))</f>
        <v/>
      </c>
      <c r="T1656" t="s">
        <v>801</v>
      </c>
    </row>
    <row r="1657" spans="12:20" x14ac:dyDescent="0.35">
      <c r="L1657" t="str">
        <f ca="1">IFERROR(_xludf.XLOOKUP(C1657,CodePath_Defaults!A:A,CodePath_Defaults!D:D,""),IFERROR(_xludf.XLOOKUP(B1657,CodePath_Defaults!B:B,CodePath_Defaults!D:D,""),""))</f>
        <v/>
      </c>
      <c r="T1657" t="s">
        <v>801</v>
      </c>
    </row>
    <row r="1658" spans="12:20" x14ac:dyDescent="0.35">
      <c r="L1658" t="str">
        <f ca="1">IFERROR(_xludf.XLOOKUP(C1658,CodePath_Defaults!A:A,CodePath_Defaults!D:D,""),IFERROR(_xludf.XLOOKUP(B1658,CodePath_Defaults!B:B,CodePath_Defaults!D:D,""),""))</f>
        <v/>
      </c>
      <c r="T1658" t="s">
        <v>801</v>
      </c>
    </row>
    <row r="1659" spans="12:20" x14ac:dyDescent="0.35">
      <c r="L1659" t="str">
        <f ca="1">IFERROR(_xludf.XLOOKUP(C1659,CodePath_Defaults!A:A,CodePath_Defaults!D:D,""),IFERROR(_xludf.XLOOKUP(B1659,CodePath_Defaults!B:B,CodePath_Defaults!D:D,""),""))</f>
        <v/>
      </c>
      <c r="T1659" t="s">
        <v>801</v>
      </c>
    </row>
    <row r="1660" spans="12:20" x14ac:dyDescent="0.35">
      <c r="L1660" t="str">
        <f ca="1">IFERROR(_xludf.XLOOKUP(C1660,CodePath_Defaults!A:A,CodePath_Defaults!D:D,""),IFERROR(_xludf.XLOOKUP(B1660,CodePath_Defaults!B:B,CodePath_Defaults!D:D,""),""))</f>
        <v/>
      </c>
      <c r="T1660" t="s">
        <v>801</v>
      </c>
    </row>
    <row r="1661" spans="12:20" x14ac:dyDescent="0.35">
      <c r="L1661" t="str">
        <f ca="1">IFERROR(_xludf.XLOOKUP(C1661,CodePath_Defaults!A:A,CodePath_Defaults!D:D,""),IFERROR(_xludf.XLOOKUP(B1661,CodePath_Defaults!B:B,CodePath_Defaults!D:D,""),""))</f>
        <v/>
      </c>
      <c r="T1661" t="s">
        <v>801</v>
      </c>
    </row>
    <row r="1662" spans="12:20" x14ac:dyDescent="0.35">
      <c r="L1662" t="str">
        <f ca="1">IFERROR(_xludf.XLOOKUP(C1662,CodePath_Defaults!A:A,CodePath_Defaults!D:D,""),IFERROR(_xludf.XLOOKUP(B1662,CodePath_Defaults!B:B,CodePath_Defaults!D:D,""),""))</f>
        <v/>
      </c>
      <c r="T1662" t="s">
        <v>801</v>
      </c>
    </row>
    <row r="1663" spans="12:20" x14ac:dyDescent="0.35">
      <c r="L1663" t="str">
        <f ca="1">IFERROR(_xludf.XLOOKUP(C1663,CodePath_Defaults!A:A,CodePath_Defaults!D:D,""),IFERROR(_xludf.XLOOKUP(B1663,CodePath_Defaults!B:B,CodePath_Defaults!D:D,""),""))</f>
        <v/>
      </c>
      <c r="T1663" t="s">
        <v>801</v>
      </c>
    </row>
    <row r="1664" spans="12:20" x14ac:dyDescent="0.35">
      <c r="L1664" t="str">
        <f ca="1">IFERROR(_xludf.XLOOKUP(C1664,CodePath_Defaults!A:A,CodePath_Defaults!D:D,""),IFERROR(_xludf.XLOOKUP(B1664,CodePath_Defaults!B:B,CodePath_Defaults!D:D,""),""))</f>
        <v/>
      </c>
      <c r="T1664" t="s">
        <v>801</v>
      </c>
    </row>
    <row r="1665" spans="12:20" x14ac:dyDescent="0.35">
      <c r="L1665" t="str">
        <f ca="1">IFERROR(_xludf.XLOOKUP(C1665,CodePath_Defaults!A:A,CodePath_Defaults!D:D,""),IFERROR(_xludf.XLOOKUP(B1665,CodePath_Defaults!B:B,CodePath_Defaults!D:D,""),""))</f>
        <v/>
      </c>
      <c r="T1665" t="s">
        <v>801</v>
      </c>
    </row>
    <row r="1666" spans="12:20" x14ac:dyDescent="0.35">
      <c r="L1666" t="str">
        <f ca="1">IFERROR(_xludf.XLOOKUP(C1666,CodePath_Defaults!A:A,CodePath_Defaults!D:D,""),IFERROR(_xludf.XLOOKUP(B1666,CodePath_Defaults!B:B,CodePath_Defaults!D:D,""),""))</f>
        <v/>
      </c>
      <c r="T1666" t="s">
        <v>801</v>
      </c>
    </row>
    <row r="1667" spans="12:20" x14ac:dyDescent="0.35">
      <c r="L1667" t="str">
        <f ca="1">IFERROR(_xludf.XLOOKUP(C1667,CodePath_Defaults!A:A,CodePath_Defaults!D:D,""),IFERROR(_xludf.XLOOKUP(B1667,CodePath_Defaults!B:B,CodePath_Defaults!D:D,""),""))</f>
        <v/>
      </c>
      <c r="T1667" t="s">
        <v>801</v>
      </c>
    </row>
    <row r="1668" spans="12:20" x14ac:dyDescent="0.35">
      <c r="L1668" t="str">
        <f ca="1">IFERROR(_xludf.XLOOKUP(C1668,CodePath_Defaults!A:A,CodePath_Defaults!D:D,""),IFERROR(_xludf.XLOOKUP(B1668,CodePath_Defaults!B:B,CodePath_Defaults!D:D,""),""))</f>
        <v/>
      </c>
      <c r="T1668" t="s">
        <v>801</v>
      </c>
    </row>
    <row r="1669" spans="12:20" x14ac:dyDescent="0.35">
      <c r="L1669" t="str">
        <f ca="1">IFERROR(_xludf.XLOOKUP(C1669,CodePath_Defaults!A:A,CodePath_Defaults!D:D,""),IFERROR(_xludf.XLOOKUP(B1669,CodePath_Defaults!B:B,CodePath_Defaults!D:D,""),""))</f>
        <v/>
      </c>
      <c r="T1669" t="s">
        <v>801</v>
      </c>
    </row>
    <row r="1670" spans="12:20" x14ac:dyDescent="0.35">
      <c r="L1670" t="str">
        <f ca="1">IFERROR(_xludf.XLOOKUP(C1670,CodePath_Defaults!A:A,CodePath_Defaults!D:D,""),IFERROR(_xludf.XLOOKUP(B1670,CodePath_Defaults!B:B,CodePath_Defaults!D:D,""),""))</f>
        <v/>
      </c>
      <c r="T1670" t="s">
        <v>801</v>
      </c>
    </row>
    <row r="1671" spans="12:20" x14ac:dyDescent="0.35">
      <c r="L1671" t="str">
        <f ca="1">IFERROR(_xludf.XLOOKUP(C1671,CodePath_Defaults!A:A,CodePath_Defaults!D:D,""),IFERROR(_xludf.XLOOKUP(B1671,CodePath_Defaults!B:B,CodePath_Defaults!D:D,""),""))</f>
        <v/>
      </c>
      <c r="T1671" t="s">
        <v>801</v>
      </c>
    </row>
    <row r="1672" spans="12:20" x14ac:dyDescent="0.35">
      <c r="L1672" t="str">
        <f ca="1">IFERROR(_xludf.XLOOKUP(C1672,CodePath_Defaults!A:A,CodePath_Defaults!D:D,""),IFERROR(_xludf.XLOOKUP(B1672,CodePath_Defaults!B:B,CodePath_Defaults!D:D,""),""))</f>
        <v/>
      </c>
      <c r="T1672" t="s">
        <v>801</v>
      </c>
    </row>
    <row r="1673" spans="12:20" x14ac:dyDescent="0.35">
      <c r="L1673" t="str">
        <f ca="1">IFERROR(_xludf.XLOOKUP(C1673,CodePath_Defaults!A:A,CodePath_Defaults!D:D,""),IFERROR(_xludf.XLOOKUP(B1673,CodePath_Defaults!B:B,CodePath_Defaults!D:D,""),""))</f>
        <v/>
      </c>
      <c r="T1673" t="s">
        <v>801</v>
      </c>
    </row>
    <row r="1674" spans="12:20" x14ac:dyDescent="0.35">
      <c r="L1674" t="str">
        <f ca="1">IFERROR(_xludf.XLOOKUP(C1674,CodePath_Defaults!A:A,CodePath_Defaults!D:D,""),IFERROR(_xludf.XLOOKUP(B1674,CodePath_Defaults!B:B,CodePath_Defaults!D:D,""),""))</f>
        <v/>
      </c>
      <c r="T1674" t="s">
        <v>801</v>
      </c>
    </row>
    <row r="1675" spans="12:20" x14ac:dyDescent="0.35">
      <c r="L1675" t="str">
        <f ca="1">IFERROR(_xludf.XLOOKUP(C1675,CodePath_Defaults!A:A,CodePath_Defaults!D:D,""),IFERROR(_xludf.XLOOKUP(B1675,CodePath_Defaults!B:B,CodePath_Defaults!D:D,""),""))</f>
        <v/>
      </c>
      <c r="T1675" t="s">
        <v>801</v>
      </c>
    </row>
    <row r="1676" spans="12:20" x14ac:dyDescent="0.35">
      <c r="L1676" t="str">
        <f ca="1">IFERROR(_xludf.XLOOKUP(C1676,CodePath_Defaults!A:A,CodePath_Defaults!D:D,""),IFERROR(_xludf.XLOOKUP(B1676,CodePath_Defaults!B:B,CodePath_Defaults!D:D,""),""))</f>
        <v/>
      </c>
      <c r="T1676" t="s">
        <v>801</v>
      </c>
    </row>
    <row r="1677" spans="12:20" x14ac:dyDescent="0.35">
      <c r="L1677" t="str">
        <f ca="1">IFERROR(_xludf.XLOOKUP(C1677,CodePath_Defaults!A:A,CodePath_Defaults!D:D,""),IFERROR(_xludf.XLOOKUP(B1677,CodePath_Defaults!B:B,CodePath_Defaults!D:D,""),""))</f>
        <v/>
      </c>
      <c r="T1677" t="s">
        <v>801</v>
      </c>
    </row>
    <row r="1678" spans="12:20" x14ac:dyDescent="0.35">
      <c r="L1678" t="str">
        <f ca="1">IFERROR(_xludf.XLOOKUP(C1678,CodePath_Defaults!A:A,CodePath_Defaults!D:D,""),IFERROR(_xludf.XLOOKUP(B1678,CodePath_Defaults!B:B,CodePath_Defaults!D:D,""),""))</f>
        <v/>
      </c>
      <c r="T1678" t="s">
        <v>801</v>
      </c>
    </row>
    <row r="1679" spans="12:20" x14ac:dyDescent="0.35">
      <c r="L1679" t="str">
        <f ca="1">IFERROR(_xludf.XLOOKUP(C1679,CodePath_Defaults!A:A,CodePath_Defaults!D:D,""),IFERROR(_xludf.XLOOKUP(B1679,CodePath_Defaults!B:B,CodePath_Defaults!D:D,""),""))</f>
        <v/>
      </c>
      <c r="T1679" t="s">
        <v>801</v>
      </c>
    </row>
    <row r="1680" spans="12:20" x14ac:dyDescent="0.35">
      <c r="L1680" t="str">
        <f ca="1">IFERROR(_xludf.XLOOKUP(C1680,CodePath_Defaults!A:A,CodePath_Defaults!D:D,""),IFERROR(_xludf.XLOOKUP(B1680,CodePath_Defaults!B:B,CodePath_Defaults!D:D,""),""))</f>
        <v/>
      </c>
      <c r="T1680" t="s">
        <v>801</v>
      </c>
    </row>
    <row r="1681" spans="12:20" x14ac:dyDescent="0.35">
      <c r="L1681" t="str">
        <f ca="1">IFERROR(_xludf.XLOOKUP(C1681,CodePath_Defaults!A:A,CodePath_Defaults!D:D,""),IFERROR(_xludf.XLOOKUP(B1681,CodePath_Defaults!B:B,CodePath_Defaults!D:D,""),""))</f>
        <v/>
      </c>
      <c r="T1681" t="s">
        <v>801</v>
      </c>
    </row>
    <row r="1682" spans="12:20" x14ac:dyDescent="0.35">
      <c r="L1682" t="str">
        <f ca="1">IFERROR(_xludf.XLOOKUP(C1682,CodePath_Defaults!A:A,CodePath_Defaults!D:D,""),IFERROR(_xludf.XLOOKUP(B1682,CodePath_Defaults!B:B,CodePath_Defaults!D:D,""),""))</f>
        <v/>
      </c>
      <c r="T1682" t="s">
        <v>801</v>
      </c>
    </row>
    <row r="1683" spans="12:20" x14ac:dyDescent="0.35">
      <c r="L1683" t="str">
        <f ca="1">IFERROR(_xludf.XLOOKUP(C1683,CodePath_Defaults!A:A,CodePath_Defaults!D:D,""),IFERROR(_xludf.XLOOKUP(B1683,CodePath_Defaults!B:B,CodePath_Defaults!D:D,""),""))</f>
        <v/>
      </c>
      <c r="T1683" t="s">
        <v>801</v>
      </c>
    </row>
    <row r="1684" spans="12:20" x14ac:dyDescent="0.35">
      <c r="L1684" t="str">
        <f ca="1">IFERROR(_xludf.XLOOKUP(C1684,CodePath_Defaults!A:A,CodePath_Defaults!D:D,""),IFERROR(_xludf.XLOOKUP(B1684,CodePath_Defaults!B:B,CodePath_Defaults!D:D,""),""))</f>
        <v/>
      </c>
      <c r="T1684" t="s">
        <v>801</v>
      </c>
    </row>
    <row r="1685" spans="12:20" x14ac:dyDescent="0.35">
      <c r="L1685" t="str">
        <f ca="1">IFERROR(_xludf.XLOOKUP(C1685,CodePath_Defaults!A:A,CodePath_Defaults!D:D,""),IFERROR(_xludf.XLOOKUP(B1685,CodePath_Defaults!B:B,CodePath_Defaults!D:D,""),""))</f>
        <v/>
      </c>
      <c r="T1685" t="s">
        <v>801</v>
      </c>
    </row>
    <row r="1686" spans="12:20" x14ac:dyDescent="0.35">
      <c r="L1686" t="str">
        <f ca="1">IFERROR(_xludf.XLOOKUP(C1686,CodePath_Defaults!A:A,CodePath_Defaults!D:D,""),IFERROR(_xludf.XLOOKUP(B1686,CodePath_Defaults!B:B,CodePath_Defaults!D:D,""),""))</f>
        <v/>
      </c>
      <c r="T1686" t="s">
        <v>801</v>
      </c>
    </row>
    <row r="1687" spans="12:20" x14ac:dyDescent="0.35">
      <c r="L1687" t="str">
        <f ca="1">IFERROR(_xludf.XLOOKUP(C1687,CodePath_Defaults!A:A,CodePath_Defaults!D:D,""),IFERROR(_xludf.XLOOKUP(B1687,CodePath_Defaults!B:B,CodePath_Defaults!D:D,""),""))</f>
        <v/>
      </c>
      <c r="T1687" t="s">
        <v>801</v>
      </c>
    </row>
    <row r="1688" spans="12:20" x14ac:dyDescent="0.35">
      <c r="L1688" t="str">
        <f ca="1">IFERROR(_xludf.XLOOKUP(C1688,CodePath_Defaults!A:A,CodePath_Defaults!D:D,""),IFERROR(_xludf.XLOOKUP(B1688,CodePath_Defaults!B:B,CodePath_Defaults!D:D,""),""))</f>
        <v/>
      </c>
      <c r="T1688" t="s">
        <v>801</v>
      </c>
    </row>
    <row r="1689" spans="12:20" x14ac:dyDescent="0.35">
      <c r="L1689" t="str">
        <f ca="1">IFERROR(_xludf.XLOOKUP(C1689,CodePath_Defaults!A:A,CodePath_Defaults!D:D,""),IFERROR(_xludf.XLOOKUP(B1689,CodePath_Defaults!B:B,CodePath_Defaults!D:D,""),""))</f>
        <v/>
      </c>
      <c r="T1689" t="s">
        <v>801</v>
      </c>
    </row>
    <row r="1690" spans="12:20" x14ac:dyDescent="0.35">
      <c r="L1690" t="str">
        <f ca="1">IFERROR(_xludf.XLOOKUP(C1690,CodePath_Defaults!A:A,CodePath_Defaults!D:D,""),IFERROR(_xludf.XLOOKUP(B1690,CodePath_Defaults!B:B,CodePath_Defaults!D:D,""),""))</f>
        <v/>
      </c>
      <c r="T1690" t="s">
        <v>801</v>
      </c>
    </row>
    <row r="1691" spans="12:20" x14ac:dyDescent="0.35">
      <c r="L1691" t="str">
        <f ca="1">IFERROR(_xludf.XLOOKUP(C1691,CodePath_Defaults!A:A,CodePath_Defaults!D:D,""),IFERROR(_xludf.XLOOKUP(B1691,CodePath_Defaults!B:B,CodePath_Defaults!D:D,""),""))</f>
        <v/>
      </c>
      <c r="T1691" t="s">
        <v>801</v>
      </c>
    </row>
    <row r="1692" spans="12:20" x14ac:dyDescent="0.35">
      <c r="L1692" t="str">
        <f ca="1">IFERROR(_xludf.XLOOKUP(C1692,CodePath_Defaults!A:A,CodePath_Defaults!D:D,""),IFERROR(_xludf.XLOOKUP(B1692,CodePath_Defaults!B:B,CodePath_Defaults!D:D,""),""))</f>
        <v/>
      </c>
      <c r="T1692" t="s">
        <v>801</v>
      </c>
    </row>
    <row r="1693" spans="12:20" x14ac:dyDescent="0.35">
      <c r="L1693" t="str">
        <f ca="1">IFERROR(_xludf.XLOOKUP(C1693,CodePath_Defaults!A:A,CodePath_Defaults!D:D,""),IFERROR(_xludf.XLOOKUP(B1693,CodePath_Defaults!B:B,CodePath_Defaults!D:D,""),""))</f>
        <v/>
      </c>
      <c r="T1693" t="s">
        <v>801</v>
      </c>
    </row>
    <row r="1694" spans="12:20" x14ac:dyDescent="0.35">
      <c r="L1694" t="str">
        <f ca="1">IFERROR(_xludf.XLOOKUP(C1694,CodePath_Defaults!A:A,CodePath_Defaults!D:D,""),IFERROR(_xludf.XLOOKUP(B1694,CodePath_Defaults!B:B,CodePath_Defaults!D:D,""),""))</f>
        <v/>
      </c>
      <c r="T1694" t="s">
        <v>801</v>
      </c>
    </row>
    <row r="1695" spans="12:20" x14ac:dyDescent="0.35">
      <c r="L1695" t="str">
        <f ca="1">IFERROR(_xludf.XLOOKUP(C1695,CodePath_Defaults!A:A,CodePath_Defaults!D:D,""),IFERROR(_xludf.XLOOKUP(B1695,CodePath_Defaults!B:B,CodePath_Defaults!D:D,""),""))</f>
        <v/>
      </c>
      <c r="T1695" t="s">
        <v>801</v>
      </c>
    </row>
    <row r="1696" spans="12:20" x14ac:dyDescent="0.35">
      <c r="L1696" t="str">
        <f ca="1">IFERROR(_xludf.XLOOKUP(C1696,CodePath_Defaults!A:A,CodePath_Defaults!D:D,""),IFERROR(_xludf.XLOOKUP(B1696,CodePath_Defaults!B:B,CodePath_Defaults!D:D,""),""))</f>
        <v/>
      </c>
      <c r="T1696" t="s">
        <v>801</v>
      </c>
    </row>
    <row r="1697" spans="12:20" x14ac:dyDescent="0.35">
      <c r="L1697" t="str">
        <f ca="1">IFERROR(_xludf.XLOOKUP(C1697,CodePath_Defaults!A:A,CodePath_Defaults!D:D,""),IFERROR(_xludf.XLOOKUP(B1697,CodePath_Defaults!B:B,CodePath_Defaults!D:D,""),""))</f>
        <v/>
      </c>
      <c r="T1697" t="s">
        <v>801</v>
      </c>
    </row>
    <row r="1698" spans="12:20" x14ac:dyDescent="0.35">
      <c r="L1698" t="str">
        <f ca="1">IFERROR(_xludf.XLOOKUP(C1698,CodePath_Defaults!A:A,CodePath_Defaults!D:D,""),IFERROR(_xludf.XLOOKUP(B1698,CodePath_Defaults!B:B,CodePath_Defaults!D:D,""),""))</f>
        <v/>
      </c>
      <c r="T1698" t="s">
        <v>801</v>
      </c>
    </row>
    <row r="1699" spans="12:20" x14ac:dyDescent="0.35">
      <c r="L1699" t="str">
        <f ca="1">IFERROR(_xludf.XLOOKUP(C1699,CodePath_Defaults!A:A,CodePath_Defaults!D:D,""),IFERROR(_xludf.XLOOKUP(B1699,CodePath_Defaults!B:B,CodePath_Defaults!D:D,""),""))</f>
        <v/>
      </c>
      <c r="T1699" t="s">
        <v>801</v>
      </c>
    </row>
    <row r="1700" spans="12:20" x14ac:dyDescent="0.35">
      <c r="L1700" t="str">
        <f ca="1">IFERROR(_xludf.XLOOKUP(C1700,CodePath_Defaults!A:A,CodePath_Defaults!D:D,""),IFERROR(_xludf.XLOOKUP(B1700,CodePath_Defaults!B:B,CodePath_Defaults!D:D,""),""))</f>
        <v/>
      </c>
      <c r="T1700" t="s">
        <v>801</v>
      </c>
    </row>
    <row r="1701" spans="12:20" x14ac:dyDescent="0.35">
      <c r="L1701" t="str">
        <f ca="1">IFERROR(_xludf.XLOOKUP(C1701,CodePath_Defaults!A:A,CodePath_Defaults!D:D,""),IFERROR(_xludf.XLOOKUP(B1701,CodePath_Defaults!B:B,CodePath_Defaults!D:D,""),""))</f>
        <v/>
      </c>
      <c r="T1701" t="s">
        <v>801</v>
      </c>
    </row>
    <row r="1702" spans="12:20" x14ac:dyDescent="0.35">
      <c r="L1702" t="str">
        <f ca="1">IFERROR(_xludf.XLOOKUP(C1702,CodePath_Defaults!A:A,CodePath_Defaults!D:D,""),IFERROR(_xludf.XLOOKUP(B1702,CodePath_Defaults!B:B,CodePath_Defaults!D:D,""),""))</f>
        <v/>
      </c>
      <c r="T1702" t="s">
        <v>801</v>
      </c>
    </row>
    <row r="1703" spans="12:20" x14ac:dyDescent="0.35">
      <c r="L1703" t="str">
        <f ca="1">IFERROR(_xludf.XLOOKUP(C1703,CodePath_Defaults!A:A,CodePath_Defaults!D:D,""),IFERROR(_xludf.XLOOKUP(B1703,CodePath_Defaults!B:B,CodePath_Defaults!D:D,""),""))</f>
        <v/>
      </c>
      <c r="T1703" t="s">
        <v>801</v>
      </c>
    </row>
    <row r="1704" spans="12:20" x14ac:dyDescent="0.35">
      <c r="L1704" t="str">
        <f ca="1">IFERROR(_xludf.XLOOKUP(C1704,CodePath_Defaults!A:A,CodePath_Defaults!D:D,""),IFERROR(_xludf.XLOOKUP(B1704,CodePath_Defaults!B:B,CodePath_Defaults!D:D,""),""))</f>
        <v/>
      </c>
      <c r="T1704" t="s">
        <v>801</v>
      </c>
    </row>
    <row r="1705" spans="12:20" x14ac:dyDescent="0.35">
      <c r="L1705" t="str">
        <f ca="1">IFERROR(_xludf.XLOOKUP(C1705,CodePath_Defaults!A:A,CodePath_Defaults!D:D,""),IFERROR(_xludf.XLOOKUP(B1705,CodePath_Defaults!B:B,CodePath_Defaults!D:D,""),""))</f>
        <v/>
      </c>
      <c r="T1705" t="s">
        <v>801</v>
      </c>
    </row>
    <row r="1706" spans="12:20" x14ac:dyDescent="0.35">
      <c r="L1706" t="str">
        <f ca="1">IFERROR(_xludf.XLOOKUP(C1706,CodePath_Defaults!A:A,CodePath_Defaults!D:D,""),IFERROR(_xludf.XLOOKUP(B1706,CodePath_Defaults!B:B,CodePath_Defaults!D:D,""),""))</f>
        <v/>
      </c>
      <c r="T1706" t="s">
        <v>801</v>
      </c>
    </row>
    <row r="1707" spans="12:20" x14ac:dyDescent="0.35">
      <c r="L1707" t="str">
        <f ca="1">IFERROR(_xludf.XLOOKUP(C1707,CodePath_Defaults!A:A,CodePath_Defaults!D:D,""),IFERROR(_xludf.XLOOKUP(B1707,CodePath_Defaults!B:B,CodePath_Defaults!D:D,""),""))</f>
        <v/>
      </c>
      <c r="T1707" t="s">
        <v>801</v>
      </c>
    </row>
    <row r="1708" spans="12:20" x14ac:dyDescent="0.35">
      <c r="L1708" t="str">
        <f ca="1">IFERROR(_xludf.XLOOKUP(C1708,CodePath_Defaults!A:A,CodePath_Defaults!D:D,""),IFERROR(_xludf.XLOOKUP(B1708,CodePath_Defaults!B:B,CodePath_Defaults!D:D,""),""))</f>
        <v/>
      </c>
      <c r="T1708" t="s">
        <v>801</v>
      </c>
    </row>
    <row r="1709" spans="12:20" x14ac:dyDescent="0.35">
      <c r="L1709" t="str">
        <f ca="1">IFERROR(_xludf.XLOOKUP(C1709,CodePath_Defaults!A:A,CodePath_Defaults!D:D,""),IFERROR(_xludf.XLOOKUP(B1709,CodePath_Defaults!B:B,CodePath_Defaults!D:D,""),""))</f>
        <v/>
      </c>
      <c r="T1709" t="s">
        <v>801</v>
      </c>
    </row>
    <row r="1710" spans="12:20" x14ac:dyDescent="0.35">
      <c r="L1710" t="str">
        <f ca="1">IFERROR(_xludf.XLOOKUP(C1710,CodePath_Defaults!A:A,CodePath_Defaults!D:D,""),IFERROR(_xludf.XLOOKUP(B1710,CodePath_Defaults!B:B,CodePath_Defaults!D:D,""),""))</f>
        <v/>
      </c>
      <c r="T1710" t="s">
        <v>801</v>
      </c>
    </row>
    <row r="1711" spans="12:20" x14ac:dyDescent="0.35">
      <c r="L1711" t="str">
        <f ca="1">IFERROR(_xludf.XLOOKUP(C1711,CodePath_Defaults!A:A,CodePath_Defaults!D:D,""),IFERROR(_xludf.XLOOKUP(B1711,CodePath_Defaults!B:B,CodePath_Defaults!D:D,""),""))</f>
        <v/>
      </c>
      <c r="T1711" t="s">
        <v>801</v>
      </c>
    </row>
    <row r="1712" spans="12:20" x14ac:dyDescent="0.35">
      <c r="L1712" t="str">
        <f ca="1">IFERROR(_xludf.XLOOKUP(C1712,CodePath_Defaults!A:A,CodePath_Defaults!D:D,""),IFERROR(_xludf.XLOOKUP(B1712,CodePath_Defaults!B:B,CodePath_Defaults!D:D,""),""))</f>
        <v/>
      </c>
      <c r="T1712" t="s">
        <v>801</v>
      </c>
    </row>
    <row r="1713" spans="12:20" x14ac:dyDescent="0.35">
      <c r="L1713" t="str">
        <f ca="1">IFERROR(_xludf.XLOOKUP(C1713,CodePath_Defaults!A:A,CodePath_Defaults!D:D,""),IFERROR(_xludf.XLOOKUP(B1713,CodePath_Defaults!B:B,CodePath_Defaults!D:D,""),""))</f>
        <v/>
      </c>
      <c r="T1713" t="s">
        <v>801</v>
      </c>
    </row>
    <row r="1714" spans="12:20" x14ac:dyDescent="0.35">
      <c r="L1714" t="str">
        <f ca="1">IFERROR(_xludf.XLOOKUP(C1714,CodePath_Defaults!A:A,CodePath_Defaults!D:D,""),IFERROR(_xludf.XLOOKUP(B1714,CodePath_Defaults!B:B,CodePath_Defaults!D:D,""),""))</f>
        <v/>
      </c>
      <c r="T1714" t="s">
        <v>801</v>
      </c>
    </row>
    <row r="1715" spans="12:20" x14ac:dyDescent="0.35">
      <c r="L1715" t="str">
        <f ca="1">IFERROR(_xludf.XLOOKUP(C1715,CodePath_Defaults!A:A,CodePath_Defaults!D:D,""),IFERROR(_xludf.XLOOKUP(B1715,CodePath_Defaults!B:B,CodePath_Defaults!D:D,""),""))</f>
        <v/>
      </c>
      <c r="T1715" t="s">
        <v>801</v>
      </c>
    </row>
    <row r="1716" spans="12:20" x14ac:dyDescent="0.35">
      <c r="L1716" t="str">
        <f ca="1">IFERROR(_xludf.XLOOKUP(C1716,CodePath_Defaults!A:A,CodePath_Defaults!D:D,""),IFERROR(_xludf.XLOOKUP(B1716,CodePath_Defaults!B:B,CodePath_Defaults!D:D,""),""))</f>
        <v/>
      </c>
      <c r="T1716" t="s">
        <v>801</v>
      </c>
    </row>
    <row r="1717" spans="12:20" x14ac:dyDescent="0.35">
      <c r="L1717" t="str">
        <f ca="1">IFERROR(_xludf.XLOOKUP(C1717,CodePath_Defaults!A:A,CodePath_Defaults!D:D,""),IFERROR(_xludf.XLOOKUP(B1717,CodePath_Defaults!B:B,CodePath_Defaults!D:D,""),""))</f>
        <v/>
      </c>
      <c r="T1717" t="s">
        <v>801</v>
      </c>
    </row>
    <row r="1718" spans="12:20" x14ac:dyDescent="0.35">
      <c r="L1718" t="str">
        <f ca="1">IFERROR(_xludf.XLOOKUP(C1718,CodePath_Defaults!A:A,CodePath_Defaults!D:D,""),IFERROR(_xludf.XLOOKUP(B1718,CodePath_Defaults!B:B,CodePath_Defaults!D:D,""),""))</f>
        <v/>
      </c>
      <c r="T1718" t="s">
        <v>801</v>
      </c>
    </row>
    <row r="1719" spans="12:20" x14ac:dyDescent="0.35">
      <c r="L1719" t="str">
        <f ca="1">IFERROR(_xludf.XLOOKUP(C1719,CodePath_Defaults!A:A,CodePath_Defaults!D:D,""),IFERROR(_xludf.XLOOKUP(B1719,CodePath_Defaults!B:B,CodePath_Defaults!D:D,""),""))</f>
        <v/>
      </c>
      <c r="T1719" t="s">
        <v>801</v>
      </c>
    </row>
    <row r="1720" spans="12:20" x14ac:dyDescent="0.35">
      <c r="L1720" t="str">
        <f ca="1">IFERROR(_xludf.XLOOKUP(C1720,CodePath_Defaults!A:A,CodePath_Defaults!D:D,""),IFERROR(_xludf.XLOOKUP(B1720,CodePath_Defaults!B:B,CodePath_Defaults!D:D,""),""))</f>
        <v/>
      </c>
      <c r="T1720" t="s">
        <v>801</v>
      </c>
    </row>
    <row r="1721" spans="12:20" x14ac:dyDescent="0.35">
      <c r="L1721" t="str">
        <f ca="1">IFERROR(_xludf.XLOOKUP(C1721,CodePath_Defaults!A:A,CodePath_Defaults!D:D,""),IFERROR(_xludf.XLOOKUP(B1721,CodePath_Defaults!B:B,CodePath_Defaults!D:D,""),""))</f>
        <v/>
      </c>
      <c r="T1721" t="s">
        <v>801</v>
      </c>
    </row>
    <row r="1722" spans="12:20" x14ac:dyDescent="0.35">
      <c r="L1722" t="str">
        <f ca="1">IFERROR(_xludf.XLOOKUP(C1722,CodePath_Defaults!A:A,CodePath_Defaults!D:D,""),IFERROR(_xludf.XLOOKUP(B1722,CodePath_Defaults!B:B,CodePath_Defaults!D:D,""),""))</f>
        <v/>
      </c>
      <c r="T1722" t="s">
        <v>801</v>
      </c>
    </row>
    <row r="1723" spans="12:20" x14ac:dyDescent="0.35">
      <c r="L1723" t="str">
        <f ca="1">IFERROR(_xludf.XLOOKUP(C1723,CodePath_Defaults!A:A,CodePath_Defaults!D:D,""),IFERROR(_xludf.XLOOKUP(B1723,CodePath_Defaults!B:B,CodePath_Defaults!D:D,""),""))</f>
        <v/>
      </c>
      <c r="T1723" t="s">
        <v>801</v>
      </c>
    </row>
    <row r="1724" spans="12:20" x14ac:dyDescent="0.35">
      <c r="L1724" t="str">
        <f ca="1">IFERROR(_xludf.XLOOKUP(C1724,CodePath_Defaults!A:A,CodePath_Defaults!D:D,""),IFERROR(_xludf.XLOOKUP(B1724,CodePath_Defaults!B:B,CodePath_Defaults!D:D,""),""))</f>
        <v/>
      </c>
      <c r="T1724" t="s">
        <v>801</v>
      </c>
    </row>
    <row r="1725" spans="12:20" x14ac:dyDescent="0.35">
      <c r="L1725" t="str">
        <f ca="1">IFERROR(_xludf.XLOOKUP(C1725,CodePath_Defaults!A:A,CodePath_Defaults!D:D,""),IFERROR(_xludf.XLOOKUP(B1725,CodePath_Defaults!B:B,CodePath_Defaults!D:D,""),""))</f>
        <v/>
      </c>
      <c r="T1725" t="s">
        <v>801</v>
      </c>
    </row>
    <row r="1726" spans="12:20" x14ac:dyDescent="0.35">
      <c r="L1726" t="str">
        <f ca="1">IFERROR(_xludf.XLOOKUP(C1726,CodePath_Defaults!A:A,CodePath_Defaults!D:D,""),IFERROR(_xludf.XLOOKUP(B1726,CodePath_Defaults!B:B,CodePath_Defaults!D:D,""),""))</f>
        <v/>
      </c>
      <c r="T1726" t="s">
        <v>801</v>
      </c>
    </row>
    <row r="1727" spans="12:20" x14ac:dyDescent="0.35">
      <c r="L1727" t="str">
        <f ca="1">IFERROR(_xludf.XLOOKUP(C1727,CodePath_Defaults!A:A,CodePath_Defaults!D:D,""),IFERROR(_xludf.XLOOKUP(B1727,CodePath_Defaults!B:B,CodePath_Defaults!D:D,""),""))</f>
        <v/>
      </c>
      <c r="T1727" t="s">
        <v>801</v>
      </c>
    </row>
    <row r="1728" spans="12:20" x14ac:dyDescent="0.35">
      <c r="L1728" t="str">
        <f ca="1">IFERROR(_xludf.XLOOKUP(C1728,CodePath_Defaults!A:A,CodePath_Defaults!D:D,""),IFERROR(_xludf.XLOOKUP(B1728,CodePath_Defaults!B:B,CodePath_Defaults!D:D,""),""))</f>
        <v/>
      </c>
      <c r="T1728" t="s">
        <v>801</v>
      </c>
    </row>
    <row r="1729" spans="12:20" x14ac:dyDescent="0.35">
      <c r="L1729" t="str">
        <f ca="1">IFERROR(_xludf.XLOOKUP(C1729,CodePath_Defaults!A:A,CodePath_Defaults!D:D,""),IFERROR(_xludf.XLOOKUP(B1729,CodePath_Defaults!B:B,CodePath_Defaults!D:D,""),""))</f>
        <v/>
      </c>
      <c r="T1729" t="s">
        <v>801</v>
      </c>
    </row>
    <row r="1730" spans="12:20" x14ac:dyDescent="0.35">
      <c r="L1730" t="str">
        <f ca="1">IFERROR(_xludf.XLOOKUP(C1730,CodePath_Defaults!A:A,CodePath_Defaults!D:D,""),IFERROR(_xludf.XLOOKUP(B1730,CodePath_Defaults!B:B,CodePath_Defaults!D:D,""),""))</f>
        <v/>
      </c>
      <c r="T1730" t="s">
        <v>801</v>
      </c>
    </row>
    <row r="1731" spans="12:20" x14ac:dyDescent="0.35">
      <c r="L1731" t="str">
        <f ca="1">IFERROR(_xludf.XLOOKUP(C1731,CodePath_Defaults!A:A,CodePath_Defaults!D:D,""),IFERROR(_xludf.XLOOKUP(B1731,CodePath_Defaults!B:B,CodePath_Defaults!D:D,""),""))</f>
        <v/>
      </c>
      <c r="T1731" t="s">
        <v>801</v>
      </c>
    </row>
    <row r="1732" spans="12:20" x14ac:dyDescent="0.35">
      <c r="L1732" t="str">
        <f ca="1">IFERROR(_xludf.XLOOKUP(C1732,CodePath_Defaults!A:A,CodePath_Defaults!D:D,""),IFERROR(_xludf.XLOOKUP(B1732,CodePath_Defaults!B:B,CodePath_Defaults!D:D,""),""))</f>
        <v/>
      </c>
      <c r="T1732" t="s">
        <v>801</v>
      </c>
    </row>
    <row r="1733" spans="12:20" x14ac:dyDescent="0.35">
      <c r="L1733" t="str">
        <f ca="1">IFERROR(_xludf.XLOOKUP(C1733,CodePath_Defaults!A:A,CodePath_Defaults!D:D,""),IFERROR(_xludf.XLOOKUP(B1733,CodePath_Defaults!B:B,CodePath_Defaults!D:D,""),""))</f>
        <v/>
      </c>
      <c r="T1733" t="s">
        <v>801</v>
      </c>
    </row>
    <row r="1734" spans="12:20" x14ac:dyDescent="0.35">
      <c r="L1734" t="str">
        <f ca="1">IFERROR(_xludf.XLOOKUP(C1734,CodePath_Defaults!A:A,CodePath_Defaults!D:D,""),IFERROR(_xludf.XLOOKUP(B1734,CodePath_Defaults!B:B,CodePath_Defaults!D:D,""),""))</f>
        <v/>
      </c>
      <c r="T1734" t="s">
        <v>801</v>
      </c>
    </row>
    <row r="1735" spans="12:20" x14ac:dyDescent="0.35">
      <c r="L1735" t="str">
        <f ca="1">IFERROR(_xludf.XLOOKUP(C1735,CodePath_Defaults!A:A,CodePath_Defaults!D:D,""),IFERROR(_xludf.XLOOKUP(B1735,CodePath_Defaults!B:B,CodePath_Defaults!D:D,""),""))</f>
        <v/>
      </c>
      <c r="T1735" t="s">
        <v>801</v>
      </c>
    </row>
    <row r="1736" spans="12:20" x14ac:dyDescent="0.35">
      <c r="L1736" t="str">
        <f ca="1">IFERROR(_xludf.XLOOKUP(C1736,CodePath_Defaults!A:A,CodePath_Defaults!D:D,""),IFERROR(_xludf.XLOOKUP(B1736,CodePath_Defaults!B:B,CodePath_Defaults!D:D,""),""))</f>
        <v/>
      </c>
      <c r="T1736" t="s">
        <v>801</v>
      </c>
    </row>
    <row r="1737" spans="12:20" x14ac:dyDescent="0.35">
      <c r="L1737" t="str">
        <f ca="1">IFERROR(_xludf.XLOOKUP(C1737,CodePath_Defaults!A:A,CodePath_Defaults!D:D,""),IFERROR(_xludf.XLOOKUP(B1737,CodePath_Defaults!B:B,CodePath_Defaults!D:D,""),""))</f>
        <v/>
      </c>
      <c r="T1737" t="s">
        <v>801</v>
      </c>
    </row>
    <row r="1738" spans="12:20" x14ac:dyDescent="0.35">
      <c r="L1738" t="str">
        <f ca="1">IFERROR(_xludf.XLOOKUP(C1738,CodePath_Defaults!A:A,CodePath_Defaults!D:D,""),IFERROR(_xludf.XLOOKUP(B1738,CodePath_Defaults!B:B,CodePath_Defaults!D:D,""),""))</f>
        <v/>
      </c>
      <c r="T1738" t="s">
        <v>801</v>
      </c>
    </row>
    <row r="1739" spans="12:20" x14ac:dyDescent="0.35">
      <c r="L1739" t="str">
        <f ca="1">IFERROR(_xludf.XLOOKUP(C1739,CodePath_Defaults!A:A,CodePath_Defaults!D:D,""),IFERROR(_xludf.XLOOKUP(B1739,CodePath_Defaults!B:B,CodePath_Defaults!D:D,""),""))</f>
        <v/>
      </c>
      <c r="T1739" t="s">
        <v>801</v>
      </c>
    </row>
    <row r="1740" spans="12:20" x14ac:dyDescent="0.35">
      <c r="L1740" t="str">
        <f ca="1">IFERROR(_xludf.XLOOKUP(C1740,CodePath_Defaults!A:A,CodePath_Defaults!D:D,""),IFERROR(_xludf.XLOOKUP(B1740,CodePath_Defaults!B:B,CodePath_Defaults!D:D,""),""))</f>
        <v/>
      </c>
      <c r="T1740" t="s">
        <v>801</v>
      </c>
    </row>
    <row r="1741" spans="12:20" x14ac:dyDescent="0.35">
      <c r="L1741" t="str">
        <f ca="1">IFERROR(_xludf.XLOOKUP(C1741,CodePath_Defaults!A:A,CodePath_Defaults!D:D,""),IFERROR(_xludf.XLOOKUP(B1741,CodePath_Defaults!B:B,CodePath_Defaults!D:D,""),""))</f>
        <v/>
      </c>
      <c r="T1741" t="s">
        <v>801</v>
      </c>
    </row>
    <row r="1742" spans="12:20" x14ac:dyDescent="0.35">
      <c r="L1742" t="str">
        <f ca="1">IFERROR(_xludf.XLOOKUP(C1742,CodePath_Defaults!A:A,CodePath_Defaults!D:D,""),IFERROR(_xludf.XLOOKUP(B1742,CodePath_Defaults!B:B,CodePath_Defaults!D:D,""),""))</f>
        <v/>
      </c>
      <c r="T1742" t="s">
        <v>801</v>
      </c>
    </row>
    <row r="1743" spans="12:20" x14ac:dyDescent="0.35">
      <c r="L1743" t="str">
        <f ca="1">IFERROR(_xludf.XLOOKUP(C1743,CodePath_Defaults!A:A,CodePath_Defaults!D:D,""),IFERROR(_xludf.XLOOKUP(B1743,CodePath_Defaults!B:B,CodePath_Defaults!D:D,""),""))</f>
        <v/>
      </c>
      <c r="T1743" t="s">
        <v>801</v>
      </c>
    </row>
    <row r="1744" spans="12:20" x14ac:dyDescent="0.35">
      <c r="L1744" t="str">
        <f ca="1">IFERROR(_xludf.XLOOKUP(C1744,CodePath_Defaults!A:A,CodePath_Defaults!D:D,""),IFERROR(_xludf.XLOOKUP(B1744,CodePath_Defaults!B:B,CodePath_Defaults!D:D,""),""))</f>
        <v/>
      </c>
      <c r="T1744" t="s">
        <v>801</v>
      </c>
    </row>
    <row r="1745" spans="12:20" x14ac:dyDescent="0.35">
      <c r="L1745" t="str">
        <f ca="1">IFERROR(_xludf.XLOOKUP(C1745,CodePath_Defaults!A:A,CodePath_Defaults!D:D,""),IFERROR(_xludf.XLOOKUP(B1745,CodePath_Defaults!B:B,CodePath_Defaults!D:D,""),""))</f>
        <v/>
      </c>
      <c r="T1745" t="s">
        <v>801</v>
      </c>
    </row>
    <row r="1746" spans="12:20" x14ac:dyDescent="0.35">
      <c r="L1746" t="str">
        <f ca="1">IFERROR(_xludf.XLOOKUP(C1746,CodePath_Defaults!A:A,CodePath_Defaults!D:D,""),IFERROR(_xludf.XLOOKUP(B1746,CodePath_Defaults!B:B,CodePath_Defaults!D:D,""),""))</f>
        <v/>
      </c>
      <c r="T1746" t="s">
        <v>801</v>
      </c>
    </row>
    <row r="1747" spans="12:20" x14ac:dyDescent="0.35">
      <c r="L1747" t="str">
        <f ca="1">IFERROR(_xludf.XLOOKUP(C1747,CodePath_Defaults!A:A,CodePath_Defaults!D:D,""),IFERROR(_xludf.XLOOKUP(B1747,CodePath_Defaults!B:B,CodePath_Defaults!D:D,""),""))</f>
        <v/>
      </c>
      <c r="T1747" t="s">
        <v>801</v>
      </c>
    </row>
    <row r="1748" spans="12:20" x14ac:dyDescent="0.35">
      <c r="L1748" t="str">
        <f ca="1">IFERROR(_xludf.XLOOKUP(C1748,CodePath_Defaults!A:A,CodePath_Defaults!D:D,""),IFERROR(_xludf.XLOOKUP(B1748,CodePath_Defaults!B:B,CodePath_Defaults!D:D,""),""))</f>
        <v/>
      </c>
      <c r="T1748" t="s">
        <v>801</v>
      </c>
    </row>
    <row r="1749" spans="12:20" x14ac:dyDescent="0.35">
      <c r="L1749" t="str">
        <f ca="1">IFERROR(_xludf.XLOOKUP(C1749,CodePath_Defaults!A:A,CodePath_Defaults!D:D,""),IFERROR(_xludf.XLOOKUP(B1749,CodePath_Defaults!B:B,CodePath_Defaults!D:D,""),""))</f>
        <v/>
      </c>
      <c r="T1749" t="s">
        <v>801</v>
      </c>
    </row>
    <row r="1750" spans="12:20" x14ac:dyDescent="0.35">
      <c r="L1750" t="str">
        <f ca="1">IFERROR(_xludf.XLOOKUP(C1750,CodePath_Defaults!A:A,CodePath_Defaults!D:D,""),IFERROR(_xludf.XLOOKUP(B1750,CodePath_Defaults!B:B,CodePath_Defaults!D:D,""),""))</f>
        <v/>
      </c>
      <c r="T1750" t="s">
        <v>801</v>
      </c>
    </row>
    <row r="1751" spans="12:20" x14ac:dyDescent="0.35">
      <c r="L1751" t="str">
        <f ca="1">IFERROR(_xludf.XLOOKUP(C1751,CodePath_Defaults!A:A,CodePath_Defaults!D:D,""),IFERROR(_xludf.XLOOKUP(B1751,CodePath_Defaults!B:B,CodePath_Defaults!D:D,""),""))</f>
        <v/>
      </c>
      <c r="T1751" t="s">
        <v>801</v>
      </c>
    </row>
    <row r="1752" spans="12:20" x14ac:dyDescent="0.35">
      <c r="L1752" t="str">
        <f ca="1">IFERROR(_xludf.XLOOKUP(C1752,CodePath_Defaults!A:A,CodePath_Defaults!D:D,""),IFERROR(_xludf.XLOOKUP(B1752,CodePath_Defaults!B:B,CodePath_Defaults!D:D,""),""))</f>
        <v/>
      </c>
      <c r="T1752" t="s">
        <v>801</v>
      </c>
    </row>
    <row r="1753" spans="12:20" x14ac:dyDescent="0.35">
      <c r="L1753" t="str">
        <f ca="1">IFERROR(_xludf.XLOOKUP(C1753,CodePath_Defaults!A:A,CodePath_Defaults!D:D,""),IFERROR(_xludf.XLOOKUP(B1753,CodePath_Defaults!B:B,CodePath_Defaults!D:D,""),""))</f>
        <v/>
      </c>
      <c r="T1753" t="s">
        <v>801</v>
      </c>
    </row>
    <row r="1754" spans="12:20" x14ac:dyDescent="0.35">
      <c r="L1754" t="str">
        <f ca="1">IFERROR(_xludf.XLOOKUP(C1754,CodePath_Defaults!A:A,CodePath_Defaults!D:D,""),IFERROR(_xludf.XLOOKUP(B1754,CodePath_Defaults!B:B,CodePath_Defaults!D:D,""),""))</f>
        <v/>
      </c>
      <c r="T1754" t="s">
        <v>801</v>
      </c>
    </row>
    <row r="1755" spans="12:20" x14ac:dyDescent="0.35">
      <c r="L1755" t="str">
        <f ca="1">IFERROR(_xludf.XLOOKUP(C1755,CodePath_Defaults!A:A,CodePath_Defaults!D:D,""),IFERROR(_xludf.XLOOKUP(B1755,CodePath_Defaults!B:B,CodePath_Defaults!D:D,""),""))</f>
        <v/>
      </c>
      <c r="T1755" t="s">
        <v>801</v>
      </c>
    </row>
    <row r="1756" spans="12:20" x14ac:dyDescent="0.35">
      <c r="L1756" t="str">
        <f ca="1">IFERROR(_xludf.XLOOKUP(C1756,CodePath_Defaults!A:A,CodePath_Defaults!D:D,""),IFERROR(_xludf.XLOOKUP(B1756,CodePath_Defaults!B:B,CodePath_Defaults!D:D,""),""))</f>
        <v/>
      </c>
      <c r="T1756" t="s">
        <v>801</v>
      </c>
    </row>
    <row r="1757" spans="12:20" x14ac:dyDescent="0.35">
      <c r="L1757" t="str">
        <f ca="1">IFERROR(_xludf.XLOOKUP(C1757,CodePath_Defaults!A:A,CodePath_Defaults!D:D,""),IFERROR(_xludf.XLOOKUP(B1757,CodePath_Defaults!B:B,CodePath_Defaults!D:D,""),""))</f>
        <v/>
      </c>
      <c r="T1757" t="s">
        <v>801</v>
      </c>
    </row>
    <row r="1758" spans="12:20" x14ac:dyDescent="0.35">
      <c r="L1758" t="str">
        <f ca="1">IFERROR(_xludf.XLOOKUP(C1758,CodePath_Defaults!A:A,CodePath_Defaults!D:D,""),IFERROR(_xludf.XLOOKUP(B1758,CodePath_Defaults!B:B,CodePath_Defaults!D:D,""),""))</f>
        <v/>
      </c>
      <c r="T1758" t="s">
        <v>801</v>
      </c>
    </row>
    <row r="1759" spans="12:20" x14ac:dyDescent="0.35">
      <c r="L1759" t="str">
        <f ca="1">IFERROR(_xludf.XLOOKUP(C1759,CodePath_Defaults!A:A,CodePath_Defaults!D:D,""),IFERROR(_xludf.XLOOKUP(B1759,CodePath_Defaults!B:B,CodePath_Defaults!D:D,""),""))</f>
        <v/>
      </c>
      <c r="T1759" t="s">
        <v>801</v>
      </c>
    </row>
    <row r="1760" spans="12:20" x14ac:dyDescent="0.35">
      <c r="L1760" t="str">
        <f ca="1">IFERROR(_xludf.XLOOKUP(C1760,CodePath_Defaults!A:A,CodePath_Defaults!D:D,""),IFERROR(_xludf.XLOOKUP(B1760,CodePath_Defaults!B:B,CodePath_Defaults!D:D,""),""))</f>
        <v/>
      </c>
      <c r="T1760" t="s">
        <v>801</v>
      </c>
    </row>
    <row r="1761" spans="12:20" x14ac:dyDescent="0.35">
      <c r="L1761" t="str">
        <f ca="1">IFERROR(_xludf.XLOOKUP(C1761,CodePath_Defaults!A:A,CodePath_Defaults!D:D,""),IFERROR(_xludf.XLOOKUP(B1761,CodePath_Defaults!B:B,CodePath_Defaults!D:D,""),""))</f>
        <v/>
      </c>
      <c r="T1761" t="s">
        <v>801</v>
      </c>
    </row>
    <row r="1762" spans="12:20" x14ac:dyDescent="0.35">
      <c r="L1762" t="str">
        <f ca="1">IFERROR(_xludf.XLOOKUP(C1762,CodePath_Defaults!A:A,CodePath_Defaults!D:D,""),IFERROR(_xludf.XLOOKUP(B1762,CodePath_Defaults!B:B,CodePath_Defaults!D:D,""),""))</f>
        <v/>
      </c>
      <c r="T1762" t="s">
        <v>801</v>
      </c>
    </row>
    <row r="1763" spans="12:20" x14ac:dyDescent="0.35">
      <c r="L1763" t="str">
        <f ca="1">IFERROR(_xludf.XLOOKUP(C1763,CodePath_Defaults!A:A,CodePath_Defaults!D:D,""),IFERROR(_xludf.XLOOKUP(B1763,CodePath_Defaults!B:B,CodePath_Defaults!D:D,""),""))</f>
        <v/>
      </c>
      <c r="T1763" t="s">
        <v>801</v>
      </c>
    </row>
    <row r="1764" spans="12:20" x14ac:dyDescent="0.35">
      <c r="L1764" t="str">
        <f ca="1">IFERROR(_xludf.XLOOKUP(C1764,CodePath_Defaults!A:A,CodePath_Defaults!D:D,""),IFERROR(_xludf.XLOOKUP(B1764,CodePath_Defaults!B:B,CodePath_Defaults!D:D,""),""))</f>
        <v/>
      </c>
      <c r="T1764" t="s">
        <v>801</v>
      </c>
    </row>
    <row r="1765" spans="12:20" x14ac:dyDescent="0.35">
      <c r="L1765" t="str">
        <f ca="1">IFERROR(_xludf.XLOOKUP(C1765,CodePath_Defaults!A:A,CodePath_Defaults!D:D,""),IFERROR(_xludf.XLOOKUP(B1765,CodePath_Defaults!B:B,CodePath_Defaults!D:D,""),""))</f>
        <v/>
      </c>
      <c r="T1765" t="s">
        <v>801</v>
      </c>
    </row>
    <row r="1766" spans="12:20" x14ac:dyDescent="0.35">
      <c r="L1766" t="str">
        <f ca="1">IFERROR(_xludf.XLOOKUP(C1766,CodePath_Defaults!A:A,CodePath_Defaults!D:D,""),IFERROR(_xludf.XLOOKUP(B1766,CodePath_Defaults!B:B,CodePath_Defaults!D:D,""),""))</f>
        <v/>
      </c>
      <c r="T1766" t="s">
        <v>801</v>
      </c>
    </row>
    <row r="1767" spans="12:20" x14ac:dyDescent="0.35">
      <c r="L1767" t="str">
        <f ca="1">IFERROR(_xludf.XLOOKUP(C1767,CodePath_Defaults!A:A,CodePath_Defaults!D:D,""),IFERROR(_xludf.XLOOKUP(B1767,CodePath_Defaults!B:B,CodePath_Defaults!D:D,""),""))</f>
        <v/>
      </c>
      <c r="T1767" t="s">
        <v>801</v>
      </c>
    </row>
    <row r="1768" spans="12:20" x14ac:dyDescent="0.35">
      <c r="L1768" t="str">
        <f ca="1">IFERROR(_xludf.XLOOKUP(C1768,CodePath_Defaults!A:A,CodePath_Defaults!D:D,""),IFERROR(_xludf.XLOOKUP(B1768,CodePath_Defaults!B:B,CodePath_Defaults!D:D,""),""))</f>
        <v/>
      </c>
      <c r="T1768" t="s">
        <v>801</v>
      </c>
    </row>
    <row r="1769" spans="12:20" x14ac:dyDescent="0.35">
      <c r="L1769" t="str">
        <f ca="1">IFERROR(_xludf.XLOOKUP(C1769,CodePath_Defaults!A:A,CodePath_Defaults!D:D,""),IFERROR(_xludf.XLOOKUP(B1769,CodePath_Defaults!B:B,CodePath_Defaults!D:D,""),""))</f>
        <v/>
      </c>
      <c r="T1769" t="s">
        <v>801</v>
      </c>
    </row>
    <row r="1770" spans="12:20" x14ac:dyDescent="0.35">
      <c r="L1770" t="str">
        <f ca="1">IFERROR(_xludf.XLOOKUP(C1770,CodePath_Defaults!A:A,CodePath_Defaults!D:D,""),IFERROR(_xludf.XLOOKUP(B1770,CodePath_Defaults!B:B,CodePath_Defaults!D:D,""),""))</f>
        <v/>
      </c>
      <c r="T1770" t="s">
        <v>801</v>
      </c>
    </row>
    <row r="1771" spans="12:20" x14ac:dyDescent="0.35">
      <c r="L1771" t="str">
        <f ca="1">IFERROR(_xludf.XLOOKUP(C1771,CodePath_Defaults!A:A,CodePath_Defaults!D:D,""),IFERROR(_xludf.XLOOKUP(B1771,CodePath_Defaults!B:B,CodePath_Defaults!D:D,""),""))</f>
        <v/>
      </c>
      <c r="T1771" t="s">
        <v>801</v>
      </c>
    </row>
    <row r="1772" spans="12:20" x14ac:dyDescent="0.35">
      <c r="L1772" t="str">
        <f ca="1">IFERROR(_xludf.XLOOKUP(C1772,CodePath_Defaults!A:A,CodePath_Defaults!D:D,""),IFERROR(_xludf.XLOOKUP(B1772,CodePath_Defaults!B:B,CodePath_Defaults!D:D,""),""))</f>
        <v/>
      </c>
      <c r="T1772" t="s">
        <v>801</v>
      </c>
    </row>
    <row r="1773" spans="12:20" x14ac:dyDescent="0.35">
      <c r="L1773" t="str">
        <f ca="1">IFERROR(_xludf.XLOOKUP(C1773,CodePath_Defaults!A:A,CodePath_Defaults!D:D,""),IFERROR(_xludf.XLOOKUP(B1773,CodePath_Defaults!B:B,CodePath_Defaults!D:D,""),""))</f>
        <v/>
      </c>
      <c r="T1773" t="s">
        <v>801</v>
      </c>
    </row>
    <row r="1774" spans="12:20" x14ac:dyDescent="0.35">
      <c r="L1774" t="str">
        <f ca="1">IFERROR(_xludf.XLOOKUP(C1774,CodePath_Defaults!A:A,CodePath_Defaults!D:D,""),IFERROR(_xludf.XLOOKUP(B1774,CodePath_Defaults!B:B,CodePath_Defaults!D:D,""),""))</f>
        <v/>
      </c>
      <c r="T1774" t="s">
        <v>801</v>
      </c>
    </row>
    <row r="1775" spans="12:20" x14ac:dyDescent="0.35">
      <c r="L1775" t="str">
        <f ca="1">IFERROR(_xludf.XLOOKUP(C1775,CodePath_Defaults!A:A,CodePath_Defaults!D:D,""),IFERROR(_xludf.XLOOKUP(B1775,CodePath_Defaults!B:B,CodePath_Defaults!D:D,""),""))</f>
        <v/>
      </c>
      <c r="T1775" t="s">
        <v>801</v>
      </c>
    </row>
    <row r="1776" spans="12:20" x14ac:dyDescent="0.35">
      <c r="L1776" t="str">
        <f ca="1">IFERROR(_xludf.XLOOKUP(C1776,CodePath_Defaults!A:A,CodePath_Defaults!D:D,""),IFERROR(_xludf.XLOOKUP(B1776,CodePath_Defaults!B:B,CodePath_Defaults!D:D,""),""))</f>
        <v/>
      </c>
      <c r="T1776" t="s">
        <v>801</v>
      </c>
    </row>
    <row r="1777" spans="12:20" x14ac:dyDescent="0.35">
      <c r="L1777" t="str">
        <f ca="1">IFERROR(_xludf.XLOOKUP(C1777,CodePath_Defaults!A:A,CodePath_Defaults!D:D,""),IFERROR(_xludf.XLOOKUP(B1777,CodePath_Defaults!B:B,CodePath_Defaults!D:D,""),""))</f>
        <v/>
      </c>
      <c r="T1777" t="s">
        <v>801</v>
      </c>
    </row>
    <row r="1778" spans="12:20" x14ac:dyDescent="0.35">
      <c r="L1778" t="str">
        <f ca="1">IFERROR(_xludf.XLOOKUP(C1778,CodePath_Defaults!A:A,CodePath_Defaults!D:D,""),IFERROR(_xludf.XLOOKUP(B1778,CodePath_Defaults!B:B,CodePath_Defaults!D:D,""),""))</f>
        <v/>
      </c>
      <c r="T1778" t="s">
        <v>801</v>
      </c>
    </row>
    <row r="1779" spans="12:20" x14ac:dyDescent="0.35">
      <c r="L1779" t="str">
        <f ca="1">IFERROR(_xludf.XLOOKUP(C1779,CodePath_Defaults!A:A,CodePath_Defaults!D:D,""),IFERROR(_xludf.XLOOKUP(B1779,CodePath_Defaults!B:B,CodePath_Defaults!D:D,""),""))</f>
        <v/>
      </c>
      <c r="T1779" t="s">
        <v>801</v>
      </c>
    </row>
    <row r="1780" spans="12:20" x14ac:dyDescent="0.35">
      <c r="L1780" t="str">
        <f ca="1">IFERROR(_xludf.XLOOKUP(C1780,CodePath_Defaults!A:A,CodePath_Defaults!D:D,""),IFERROR(_xludf.XLOOKUP(B1780,CodePath_Defaults!B:B,CodePath_Defaults!D:D,""),""))</f>
        <v/>
      </c>
      <c r="T1780" t="s">
        <v>801</v>
      </c>
    </row>
    <row r="1781" spans="12:20" x14ac:dyDescent="0.35">
      <c r="L1781" t="str">
        <f ca="1">IFERROR(_xludf.XLOOKUP(C1781,CodePath_Defaults!A:A,CodePath_Defaults!D:D,""),IFERROR(_xludf.XLOOKUP(B1781,CodePath_Defaults!B:B,CodePath_Defaults!D:D,""),""))</f>
        <v/>
      </c>
      <c r="T1781" t="s">
        <v>801</v>
      </c>
    </row>
    <row r="1782" spans="12:20" x14ac:dyDescent="0.35">
      <c r="L1782" t="str">
        <f ca="1">IFERROR(_xludf.XLOOKUP(C1782,CodePath_Defaults!A:A,CodePath_Defaults!D:D,""),IFERROR(_xludf.XLOOKUP(B1782,CodePath_Defaults!B:B,CodePath_Defaults!D:D,""),""))</f>
        <v/>
      </c>
      <c r="T1782" t="s">
        <v>801</v>
      </c>
    </row>
    <row r="1783" spans="12:20" x14ac:dyDescent="0.35">
      <c r="L1783" t="str">
        <f ca="1">IFERROR(_xludf.XLOOKUP(C1783,CodePath_Defaults!A:A,CodePath_Defaults!D:D,""),IFERROR(_xludf.XLOOKUP(B1783,CodePath_Defaults!B:B,CodePath_Defaults!D:D,""),""))</f>
        <v/>
      </c>
      <c r="T1783" t="s">
        <v>801</v>
      </c>
    </row>
    <row r="1784" spans="12:20" x14ac:dyDescent="0.35">
      <c r="L1784" t="str">
        <f ca="1">IFERROR(_xludf.XLOOKUP(C1784,CodePath_Defaults!A:A,CodePath_Defaults!D:D,""),IFERROR(_xludf.XLOOKUP(B1784,CodePath_Defaults!B:B,CodePath_Defaults!D:D,""),""))</f>
        <v/>
      </c>
      <c r="T1784" t="s">
        <v>801</v>
      </c>
    </row>
    <row r="1785" spans="12:20" x14ac:dyDescent="0.35">
      <c r="L1785" t="str">
        <f ca="1">IFERROR(_xludf.XLOOKUP(C1785,CodePath_Defaults!A:A,CodePath_Defaults!D:D,""),IFERROR(_xludf.XLOOKUP(B1785,CodePath_Defaults!B:B,CodePath_Defaults!D:D,""),""))</f>
        <v/>
      </c>
      <c r="T1785" t="s">
        <v>801</v>
      </c>
    </row>
    <row r="1786" spans="12:20" x14ac:dyDescent="0.35">
      <c r="L1786" t="str">
        <f ca="1">IFERROR(_xludf.XLOOKUP(C1786,CodePath_Defaults!A:A,CodePath_Defaults!D:D,""),IFERROR(_xludf.XLOOKUP(B1786,CodePath_Defaults!B:B,CodePath_Defaults!D:D,""),""))</f>
        <v/>
      </c>
      <c r="T1786" t="s">
        <v>801</v>
      </c>
    </row>
    <row r="1787" spans="12:20" x14ac:dyDescent="0.35">
      <c r="L1787" t="str">
        <f ca="1">IFERROR(_xludf.XLOOKUP(C1787,CodePath_Defaults!A:A,CodePath_Defaults!D:D,""),IFERROR(_xludf.XLOOKUP(B1787,CodePath_Defaults!B:B,CodePath_Defaults!D:D,""),""))</f>
        <v/>
      </c>
      <c r="T1787" t="s">
        <v>801</v>
      </c>
    </row>
    <row r="1788" spans="12:20" x14ac:dyDescent="0.35">
      <c r="L1788" t="str">
        <f ca="1">IFERROR(_xludf.XLOOKUP(C1788,CodePath_Defaults!A:A,CodePath_Defaults!D:D,""),IFERROR(_xludf.XLOOKUP(B1788,CodePath_Defaults!B:B,CodePath_Defaults!D:D,""),""))</f>
        <v/>
      </c>
      <c r="T1788" t="s">
        <v>801</v>
      </c>
    </row>
    <row r="1789" spans="12:20" x14ac:dyDescent="0.35">
      <c r="L1789" t="str">
        <f ca="1">IFERROR(_xludf.XLOOKUP(C1789,CodePath_Defaults!A:A,CodePath_Defaults!D:D,""),IFERROR(_xludf.XLOOKUP(B1789,CodePath_Defaults!B:B,CodePath_Defaults!D:D,""),""))</f>
        <v/>
      </c>
      <c r="T1789" t="s">
        <v>801</v>
      </c>
    </row>
    <row r="1790" spans="12:20" x14ac:dyDescent="0.35">
      <c r="L1790" t="str">
        <f ca="1">IFERROR(_xludf.XLOOKUP(C1790,CodePath_Defaults!A:A,CodePath_Defaults!D:D,""),IFERROR(_xludf.XLOOKUP(B1790,CodePath_Defaults!B:B,CodePath_Defaults!D:D,""),""))</f>
        <v/>
      </c>
      <c r="T1790" t="s">
        <v>801</v>
      </c>
    </row>
    <row r="1791" spans="12:20" x14ac:dyDescent="0.35">
      <c r="L1791" t="str">
        <f ca="1">IFERROR(_xludf.XLOOKUP(C1791,CodePath_Defaults!A:A,CodePath_Defaults!D:D,""),IFERROR(_xludf.XLOOKUP(B1791,CodePath_Defaults!B:B,CodePath_Defaults!D:D,""),""))</f>
        <v/>
      </c>
      <c r="T1791" t="s">
        <v>801</v>
      </c>
    </row>
    <row r="1792" spans="12:20" x14ac:dyDescent="0.35">
      <c r="L1792" t="str">
        <f ca="1">IFERROR(_xludf.XLOOKUP(C1792,CodePath_Defaults!A:A,CodePath_Defaults!D:D,""),IFERROR(_xludf.XLOOKUP(B1792,CodePath_Defaults!B:B,CodePath_Defaults!D:D,""),""))</f>
        <v/>
      </c>
      <c r="T1792" t="s">
        <v>801</v>
      </c>
    </row>
    <row r="1793" spans="12:20" x14ac:dyDescent="0.35">
      <c r="L1793" t="str">
        <f ca="1">IFERROR(_xludf.XLOOKUP(C1793,CodePath_Defaults!A:A,CodePath_Defaults!D:D,""),IFERROR(_xludf.XLOOKUP(B1793,CodePath_Defaults!B:B,CodePath_Defaults!D:D,""),""))</f>
        <v/>
      </c>
      <c r="T1793" t="s">
        <v>801</v>
      </c>
    </row>
    <row r="1794" spans="12:20" x14ac:dyDescent="0.35">
      <c r="L1794" t="str">
        <f ca="1">IFERROR(_xludf.XLOOKUP(C1794,CodePath_Defaults!A:A,CodePath_Defaults!D:D,""),IFERROR(_xludf.XLOOKUP(B1794,CodePath_Defaults!B:B,CodePath_Defaults!D:D,""),""))</f>
        <v/>
      </c>
      <c r="T1794" t="s">
        <v>801</v>
      </c>
    </row>
    <row r="1795" spans="12:20" x14ac:dyDescent="0.35">
      <c r="L1795" t="str">
        <f ca="1">IFERROR(_xludf.XLOOKUP(C1795,CodePath_Defaults!A:A,CodePath_Defaults!D:D,""),IFERROR(_xludf.XLOOKUP(B1795,CodePath_Defaults!B:B,CodePath_Defaults!D:D,""),""))</f>
        <v/>
      </c>
      <c r="T1795" t="s">
        <v>801</v>
      </c>
    </row>
    <row r="1796" spans="12:20" x14ac:dyDescent="0.35">
      <c r="L1796" t="str">
        <f ca="1">IFERROR(_xludf.XLOOKUP(C1796,CodePath_Defaults!A:A,CodePath_Defaults!D:D,""),IFERROR(_xludf.XLOOKUP(B1796,CodePath_Defaults!B:B,CodePath_Defaults!D:D,""),""))</f>
        <v/>
      </c>
      <c r="T1796" t="s">
        <v>801</v>
      </c>
    </row>
    <row r="1797" spans="12:20" x14ac:dyDescent="0.35">
      <c r="L1797" t="str">
        <f ca="1">IFERROR(_xludf.XLOOKUP(C1797,CodePath_Defaults!A:A,CodePath_Defaults!D:D,""),IFERROR(_xludf.XLOOKUP(B1797,CodePath_Defaults!B:B,CodePath_Defaults!D:D,""),""))</f>
        <v/>
      </c>
      <c r="T1797" t="s">
        <v>801</v>
      </c>
    </row>
    <row r="1798" spans="12:20" x14ac:dyDescent="0.35">
      <c r="L1798" t="str">
        <f ca="1">IFERROR(_xludf.XLOOKUP(C1798,CodePath_Defaults!A:A,CodePath_Defaults!D:D,""),IFERROR(_xludf.XLOOKUP(B1798,CodePath_Defaults!B:B,CodePath_Defaults!D:D,""),""))</f>
        <v/>
      </c>
      <c r="T1798" t="s">
        <v>801</v>
      </c>
    </row>
    <row r="1799" spans="12:20" x14ac:dyDescent="0.35">
      <c r="L1799" t="str">
        <f ca="1">IFERROR(_xludf.XLOOKUP(C1799,CodePath_Defaults!A:A,CodePath_Defaults!D:D,""),IFERROR(_xludf.XLOOKUP(B1799,CodePath_Defaults!B:B,CodePath_Defaults!D:D,""),""))</f>
        <v/>
      </c>
      <c r="T1799" t="s">
        <v>801</v>
      </c>
    </row>
    <row r="1800" spans="12:20" x14ac:dyDescent="0.35">
      <c r="L1800" t="str">
        <f ca="1">IFERROR(_xludf.XLOOKUP(C1800,CodePath_Defaults!A:A,CodePath_Defaults!D:D,""),IFERROR(_xludf.XLOOKUP(B1800,CodePath_Defaults!B:B,CodePath_Defaults!D:D,""),""))</f>
        <v/>
      </c>
      <c r="T1800" t="s">
        <v>801</v>
      </c>
    </row>
    <row r="1801" spans="12:20" x14ac:dyDescent="0.35">
      <c r="L1801" t="str">
        <f ca="1">IFERROR(_xludf.XLOOKUP(C1801,CodePath_Defaults!A:A,CodePath_Defaults!D:D,""),IFERROR(_xludf.XLOOKUP(B1801,CodePath_Defaults!B:B,CodePath_Defaults!D:D,""),""))</f>
        <v/>
      </c>
      <c r="T1801" t="s">
        <v>801</v>
      </c>
    </row>
    <row r="1802" spans="12:20" x14ac:dyDescent="0.35">
      <c r="L1802" t="str">
        <f ca="1">IFERROR(_xludf.XLOOKUP(C1802,CodePath_Defaults!A:A,CodePath_Defaults!D:D,""),IFERROR(_xludf.XLOOKUP(B1802,CodePath_Defaults!B:B,CodePath_Defaults!D:D,""),""))</f>
        <v/>
      </c>
      <c r="T1802" t="s">
        <v>801</v>
      </c>
    </row>
    <row r="1803" spans="12:20" x14ac:dyDescent="0.35">
      <c r="L1803" t="str">
        <f ca="1">IFERROR(_xludf.XLOOKUP(C1803,CodePath_Defaults!A:A,CodePath_Defaults!D:D,""),IFERROR(_xludf.XLOOKUP(B1803,CodePath_Defaults!B:B,CodePath_Defaults!D:D,""),""))</f>
        <v/>
      </c>
      <c r="T1803" t="s">
        <v>801</v>
      </c>
    </row>
    <row r="1804" spans="12:20" x14ac:dyDescent="0.35">
      <c r="L1804" t="str">
        <f ca="1">IFERROR(_xludf.XLOOKUP(C1804,CodePath_Defaults!A:A,CodePath_Defaults!D:D,""),IFERROR(_xludf.XLOOKUP(B1804,CodePath_Defaults!B:B,CodePath_Defaults!D:D,""),""))</f>
        <v/>
      </c>
      <c r="T1804" t="s">
        <v>801</v>
      </c>
    </row>
    <row r="1805" spans="12:20" x14ac:dyDescent="0.35">
      <c r="L1805" t="str">
        <f ca="1">IFERROR(_xludf.XLOOKUP(C1805,CodePath_Defaults!A:A,CodePath_Defaults!D:D,""),IFERROR(_xludf.XLOOKUP(B1805,CodePath_Defaults!B:B,CodePath_Defaults!D:D,""),""))</f>
        <v/>
      </c>
      <c r="T1805" t="s">
        <v>801</v>
      </c>
    </row>
    <row r="1806" spans="12:20" x14ac:dyDescent="0.35">
      <c r="L1806" t="str">
        <f ca="1">IFERROR(_xludf.XLOOKUP(C1806,CodePath_Defaults!A:A,CodePath_Defaults!D:D,""),IFERROR(_xludf.XLOOKUP(B1806,CodePath_Defaults!B:B,CodePath_Defaults!D:D,""),""))</f>
        <v/>
      </c>
      <c r="T1806" t="s">
        <v>801</v>
      </c>
    </row>
    <row r="1807" spans="12:20" x14ac:dyDescent="0.35">
      <c r="L1807" t="str">
        <f ca="1">IFERROR(_xludf.XLOOKUP(C1807,CodePath_Defaults!A:A,CodePath_Defaults!D:D,""),IFERROR(_xludf.XLOOKUP(B1807,CodePath_Defaults!B:B,CodePath_Defaults!D:D,""),""))</f>
        <v/>
      </c>
      <c r="T1807" t="s">
        <v>801</v>
      </c>
    </row>
    <row r="1808" spans="12:20" x14ac:dyDescent="0.35">
      <c r="L1808" t="str">
        <f ca="1">IFERROR(_xludf.XLOOKUP(C1808,CodePath_Defaults!A:A,CodePath_Defaults!D:D,""),IFERROR(_xludf.XLOOKUP(B1808,CodePath_Defaults!B:B,CodePath_Defaults!D:D,""),""))</f>
        <v/>
      </c>
      <c r="T1808" t="s">
        <v>801</v>
      </c>
    </row>
    <row r="1809" spans="12:20" x14ac:dyDescent="0.35">
      <c r="L1809" t="str">
        <f ca="1">IFERROR(_xludf.XLOOKUP(C1809,CodePath_Defaults!A:A,CodePath_Defaults!D:D,""),IFERROR(_xludf.XLOOKUP(B1809,CodePath_Defaults!B:B,CodePath_Defaults!D:D,""),""))</f>
        <v/>
      </c>
      <c r="T1809" t="s">
        <v>801</v>
      </c>
    </row>
    <row r="1810" spans="12:20" x14ac:dyDescent="0.35">
      <c r="L1810" t="str">
        <f ca="1">IFERROR(_xludf.XLOOKUP(C1810,CodePath_Defaults!A:A,CodePath_Defaults!D:D,""),IFERROR(_xludf.XLOOKUP(B1810,CodePath_Defaults!B:B,CodePath_Defaults!D:D,""),""))</f>
        <v/>
      </c>
      <c r="T1810" t="s">
        <v>801</v>
      </c>
    </row>
    <row r="1811" spans="12:20" x14ac:dyDescent="0.35">
      <c r="L1811" t="str">
        <f ca="1">IFERROR(_xludf.XLOOKUP(C1811,CodePath_Defaults!A:A,CodePath_Defaults!D:D,""),IFERROR(_xludf.XLOOKUP(B1811,CodePath_Defaults!B:B,CodePath_Defaults!D:D,""),""))</f>
        <v/>
      </c>
      <c r="T1811" t="s">
        <v>801</v>
      </c>
    </row>
    <row r="1812" spans="12:20" x14ac:dyDescent="0.35">
      <c r="L1812" t="str">
        <f ca="1">IFERROR(_xludf.XLOOKUP(C1812,CodePath_Defaults!A:A,CodePath_Defaults!D:D,""),IFERROR(_xludf.XLOOKUP(B1812,CodePath_Defaults!B:B,CodePath_Defaults!D:D,""),""))</f>
        <v/>
      </c>
      <c r="T1812" t="s">
        <v>801</v>
      </c>
    </row>
    <row r="1813" spans="12:20" x14ac:dyDescent="0.35">
      <c r="L1813" t="str">
        <f ca="1">IFERROR(_xludf.XLOOKUP(C1813,CodePath_Defaults!A:A,CodePath_Defaults!D:D,""),IFERROR(_xludf.XLOOKUP(B1813,CodePath_Defaults!B:B,CodePath_Defaults!D:D,""),""))</f>
        <v/>
      </c>
      <c r="T1813" t="s">
        <v>801</v>
      </c>
    </row>
    <row r="1814" spans="12:20" x14ac:dyDescent="0.35">
      <c r="L1814" t="str">
        <f ca="1">IFERROR(_xludf.XLOOKUP(C1814,CodePath_Defaults!A:A,CodePath_Defaults!D:D,""),IFERROR(_xludf.XLOOKUP(B1814,CodePath_Defaults!B:B,CodePath_Defaults!D:D,""),""))</f>
        <v/>
      </c>
      <c r="T1814" t="s">
        <v>801</v>
      </c>
    </row>
    <row r="1815" spans="12:20" x14ac:dyDescent="0.35">
      <c r="L1815" t="str">
        <f ca="1">IFERROR(_xludf.XLOOKUP(C1815,CodePath_Defaults!A:A,CodePath_Defaults!D:D,""),IFERROR(_xludf.XLOOKUP(B1815,CodePath_Defaults!B:B,CodePath_Defaults!D:D,""),""))</f>
        <v/>
      </c>
      <c r="T1815" t="s">
        <v>801</v>
      </c>
    </row>
    <row r="1816" spans="12:20" x14ac:dyDescent="0.35">
      <c r="L1816" t="str">
        <f ca="1">IFERROR(_xludf.XLOOKUP(C1816,CodePath_Defaults!A:A,CodePath_Defaults!D:D,""),IFERROR(_xludf.XLOOKUP(B1816,CodePath_Defaults!B:B,CodePath_Defaults!D:D,""),""))</f>
        <v/>
      </c>
      <c r="T1816" t="s">
        <v>801</v>
      </c>
    </row>
    <row r="1817" spans="12:20" x14ac:dyDescent="0.35">
      <c r="L1817" t="str">
        <f ca="1">IFERROR(_xludf.XLOOKUP(C1817,CodePath_Defaults!A:A,CodePath_Defaults!D:D,""),IFERROR(_xludf.XLOOKUP(B1817,CodePath_Defaults!B:B,CodePath_Defaults!D:D,""),""))</f>
        <v/>
      </c>
      <c r="T1817" t="s">
        <v>801</v>
      </c>
    </row>
    <row r="1818" spans="12:20" x14ac:dyDescent="0.35">
      <c r="L1818" t="str">
        <f ca="1">IFERROR(_xludf.XLOOKUP(C1818,CodePath_Defaults!A:A,CodePath_Defaults!D:D,""),IFERROR(_xludf.XLOOKUP(B1818,CodePath_Defaults!B:B,CodePath_Defaults!D:D,""),""))</f>
        <v/>
      </c>
      <c r="T1818" t="s">
        <v>801</v>
      </c>
    </row>
    <row r="1819" spans="12:20" x14ac:dyDescent="0.35">
      <c r="L1819" t="str">
        <f ca="1">IFERROR(_xludf.XLOOKUP(C1819,CodePath_Defaults!A:A,CodePath_Defaults!D:D,""),IFERROR(_xludf.XLOOKUP(B1819,CodePath_Defaults!B:B,CodePath_Defaults!D:D,""),""))</f>
        <v/>
      </c>
      <c r="T1819" t="s">
        <v>801</v>
      </c>
    </row>
    <row r="1820" spans="12:20" x14ac:dyDescent="0.35">
      <c r="L1820" t="str">
        <f ca="1">IFERROR(_xludf.XLOOKUP(C1820,CodePath_Defaults!A:A,CodePath_Defaults!D:D,""),IFERROR(_xludf.XLOOKUP(B1820,CodePath_Defaults!B:B,CodePath_Defaults!D:D,""),""))</f>
        <v/>
      </c>
      <c r="T1820" t="s">
        <v>801</v>
      </c>
    </row>
    <row r="1821" spans="12:20" x14ac:dyDescent="0.35">
      <c r="L1821" t="str">
        <f ca="1">IFERROR(_xludf.XLOOKUP(C1821,CodePath_Defaults!A:A,CodePath_Defaults!D:D,""),IFERROR(_xludf.XLOOKUP(B1821,CodePath_Defaults!B:B,CodePath_Defaults!D:D,""),""))</f>
        <v/>
      </c>
      <c r="T1821" t="s">
        <v>801</v>
      </c>
    </row>
    <row r="1822" spans="12:20" x14ac:dyDescent="0.35">
      <c r="L1822" t="str">
        <f ca="1">IFERROR(_xludf.XLOOKUP(C1822,CodePath_Defaults!A:A,CodePath_Defaults!D:D,""),IFERROR(_xludf.XLOOKUP(B1822,CodePath_Defaults!B:B,CodePath_Defaults!D:D,""),""))</f>
        <v/>
      </c>
      <c r="T1822" t="s">
        <v>801</v>
      </c>
    </row>
    <row r="1823" spans="12:20" x14ac:dyDescent="0.35">
      <c r="L1823" t="str">
        <f ca="1">IFERROR(_xludf.XLOOKUP(C1823,CodePath_Defaults!A:A,CodePath_Defaults!D:D,""),IFERROR(_xludf.XLOOKUP(B1823,CodePath_Defaults!B:B,CodePath_Defaults!D:D,""),""))</f>
        <v/>
      </c>
      <c r="T1823" t="s">
        <v>801</v>
      </c>
    </row>
    <row r="1824" spans="12:20" x14ac:dyDescent="0.35">
      <c r="L1824" t="str">
        <f ca="1">IFERROR(_xludf.XLOOKUP(C1824,CodePath_Defaults!A:A,CodePath_Defaults!D:D,""),IFERROR(_xludf.XLOOKUP(B1824,CodePath_Defaults!B:B,CodePath_Defaults!D:D,""),""))</f>
        <v/>
      </c>
      <c r="T1824" t="s">
        <v>801</v>
      </c>
    </row>
    <row r="1825" spans="12:20" x14ac:dyDescent="0.35">
      <c r="L1825" t="str">
        <f ca="1">IFERROR(_xludf.XLOOKUP(C1825,CodePath_Defaults!A:A,CodePath_Defaults!D:D,""),IFERROR(_xludf.XLOOKUP(B1825,CodePath_Defaults!B:B,CodePath_Defaults!D:D,""),""))</f>
        <v/>
      </c>
      <c r="T1825" t="s">
        <v>801</v>
      </c>
    </row>
    <row r="1826" spans="12:20" x14ac:dyDescent="0.35">
      <c r="L1826" t="str">
        <f ca="1">IFERROR(_xludf.XLOOKUP(C1826,CodePath_Defaults!A:A,CodePath_Defaults!D:D,""),IFERROR(_xludf.XLOOKUP(B1826,CodePath_Defaults!B:B,CodePath_Defaults!D:D,""),""))</f>
        <v/>
      </c>
      <c r="T1826" t="s">
        <v>801</v>
      </c>
    </row>
    <row r="1827" spans="12:20" x14ac:dyDescent="0.35">
      <c r="L1827" t="str">
        <f ca="1">IFERROR(_xludf.XLOOKUP(C1827,CodePath_Defaults!A:A,CodePath_Defaults!D:D,""),IFERROR(_xludf.XLOOKUP(B1827,CodePath_Defaults!B:B,CodePath_Defaults!D:D,""),""))</f>
        <v/>
      </c>
      <c r="T1827" t="s">
        <v>801</v>
      </c>
    </row>
    <row r="1828" spans="12:20" x14ac:dyDescent="0.35">
      <c r="L1828" t="str">
        <f ca="1">IFERROR(_xludf.XLOOKUP(C1828,CodePath_Defaults!A:A,CodePath_Defaults!D:D,""),IFERROR(_xludf.XLOOKUP(B1828,CodePath_Defaults!B:B,CodePath_Defaults!D:D,""),""))</f>
        <v/>
      </c>
      <c r="T1828" t="s">
        <v>801</v>
      </c>
    </row>
    <row r="1829" spans="12:20" x14ac:dyDescent="0.35">
      <c r="L1829" t="str">
        <f ca="1">IFERROR(_xludf.XLOOKUP(C1829,CodePath_Defaults!A:A,CodePath_Defaults!D:D,""),IFERROR(_xludf.XLOOKUP(B1829,CodePath_Defaults!B:B,CodePath_Defaults!D:D,""),""))</f>
        <v/>
      </c>
      <c r="T1829" t="s">
        <v>801</v>
      </c>
    </row>
    <row r="1830" spans="12:20" x14ac:dyDescent="0.35">
      <c r="L1830" t="str">
        <f ca="1">IFERROR(_xludf.XLOOKUP(C1830,CodePath_Defaults!A:A,CodePath_Defaults!D:D,""),IFERROR(_xludf.XLOOKUP(B1830,CodePath_Defaults!B:B,CodePath_Defaults!D:D,""),""))</f>
        <v/>
      </c>
      <c r="T1830" t="s">
        <v>801</v>
      </c>
    </row>
    <row r="1831" spans="12:20" x14ac:dyDescent="0.35">
      <c r="L1831" t="str">
        <f ca="1">IFERROR(_xludf.XLOOKUP(C1831,CodePath_Defaults!A:A,CodePath_Defaults!D:D,""),IFERROR(_xludf.XLOOKUP(B1831,CodePath_Defaults!B:B,CodePath_Defaults!D:D,""),""))</f>
        <v/>
      </c>
      <c r="T1831" t="s">
        <v>801</v>
      </c>
    </row>
    <row r="1832" spans="12:20" x14ac:dyDescent="0.35">
      <c r="L1832" t="str">
        <f ca="1">IFERROR(_xludf.XLOOKUP(C1832,CodePath_Defaults!A:A,CodePath_Defaults!D:D,""),IFERROR(_xludf.XLOOKUP(B1832,CodePath_Defaults!B:B,CodePath_Defaults!D:D,""),""))</f>
        <v/>
      </c>
      <c r="T1832" t="s">
        <v>801</v>
      </c>
    </row>
    <row r="1833" spans="12:20" x14ac:dyDescent="0.35">
      <c r="L1833" t="str">
        <f ca="1">IFERROR(_xludf.XLOOKUP(C1833,CodePath_Defaults!A:A,CodePath_Defaults!D:D,""),IFERROR(_xludf.XLOOKUP(B1833,CodePath_Defaults!B:B,CodePath_Defaults!D:D,""),""))</f>
        <v/>
      </c>
      <c r="T1833" t="s">
        <v>801</v>
      </c>
    </row>
    <row r="1834" spans="12:20" x14ac:dyDescent="0.35">
      <c r="L1834" t="str">
        <f ca="1">IFERROR(_xludf.XLOOKUP(C1834,CodePath_Defaults!A:A,CodePath_Defaults!D:D,""),IFERROR(_xludf.XLOOKUP(B1834,CodePath_Defaults!B:B,CodePath_Defaults!D:D,""),""))</f>
        <v/>
      </c>
      <c r="T1834" t="s">
        <v>801</v>
      </c>
    </row>
    <row r="1835" spans="12:20" x14ac:dyDescent="0.35">
      <c r="L1835" t="str">
        <f ca="1">IFERROR(_xludf.XLOOKUP(C1835,CodePath_Defaults!A:A,CodePath_Defaults!D:D,""),IFERROR(_xludf.XLOOKUP(B1835,CodePath_Defaults!B:B,CodePath_Defaults!D:D,""),""))</f>
        <v/>
      </c>
      <c r="T1835" t="s">
        <v>801</v>
      </c>
    </row>
    <row r="1836" spans="12:20" x14ac:dyDescent="0.35">
      <c r="L1836" t="str">
        <f ca="1">IFERROR(_xludf.XLOOKUP(C1836,CodePath_Defaults!A:A,CodePath_Defaults!D:D,""),IFERROR(_xludf.XLOOKUP(B1836,CodePath_Defaults!B:B,CodePath_Defaults!D:D,""),""))</f>
        <v/>
      </c>
      <c r="T1836" t="s">
        <v>801</v>
      </c>
    </row>
    <row r="1837" spans="12:20" x14ac:dyDescent="0.35">
      <c r="L1837" t="str">
        <f ca="1">IFERROR(_xludf.XLOOKUP(C1837,CodePath_Defaults!A:A,CodePath_Defaults!D:D,""),IFERROR(_xludf.XLOOKUP(B1837,CodePath_Defaults!B:B,CodePath_Defaults!D:D,""),""))</f>
        <v/>
      </c>
      <c r="T1837" t="s">
        <v>801</v>
      </c>
    </row>
    <row r="1838" spans="12:20" x14ac:dyDescent="0.35">
      <c r="L1838" t="str">
        <f ca="1">IFERROR(_xludf.XLOOKUP(C1838,CodePath_Defaults!A:A,CodePath_Defaults!D:D,""),IFERROR(_xludf.XLOOKUP(B1838,CodePath_Defaults!B:B,CodePath_Defaults!D:D,""),""))</f>
        <v/>
      </c>
      <c r="T1838" t="s">
        <v>801</v>
      </c>
    </row>
    <row r="1839" spans="12:20" x14ac:dyDescent="0.35">
      <c r="L1839" t="str">
        <f ca="1">IFERROR(_xludf.XLOOKUP(C1839,CodePath_Defaults!A:A,CodePath_Defaults!D:D,""),IFERROR(_xludf.XLOOKUP(B1839,CodePath_Defaults!B:B,CodePath_Defaults!D:D,""),""))</f>
        <v/>
      </c>
      <c r="T1839" t="s">
        <v>801</v>
      </c>
    </row>
    <row r="1840" spans="12:20" x14ac:dyDescent="0.35">
      <c r="L1840" t="str">
        <f ca="1">IFERROR(_xludf.XLOOKUP(C1840,CodePath_Defaults!A:A,CodePath_Defaults!D:D,""),IFERROR(_xludf.XLOOKUP(B1840,CodePath_Defaults!B:B,CodePath_Defaults!D:D,""),""))</f>
        <v/>
      </c>
      <c r="T1840" t="s">
        <v>801</v>
      </c>
    </row>
    <row r="1841" spans="12:20" x14ac:dyDescent="0.35">
      <c r="L1841" t="str">
        <f ca="1">IFERROR(_xludf.XLOOKUP(C1841,CodePath_Defaults!A:A,CodePath_Defaults!D:D,""),IFERROR(_xludf.XLOOKUP(B1841,CodePath_Defaults!B:B,CodePath_Defaults!D:D,""),""))</f>
        <v/>
      </c>
      <c r="T1841" t="s">
        <v>801</v>
      </c>
    </row>
    <row r="1842" spans="12:20" x14ac:dyDescent="0.35">
      <c r="L1842" t="str">
        <f ca="1">IFERROR(_xludf.XLOOKUP(C1842,CodePath_Defaults!A:A,CodePath_Defaults!D:D,""),IFERROR(_xludf.XLOOKUP(B1842,CodePath_Defaults!B:B,CodePath_Defaults!D:D,""),""))</f>
        <v/>
      </c>
      <c r="T1842" t="s">
        <v>801</v>
      </c>
    </row>
    <row r="1843" spans="12:20" x14ac:dyDescent="0.35">
      <c r="L1843" t="str">
        <f ca="1">IFERROR(_xludf.XLOOKUP(C1843,CodePath_Defaults!A:A,CodePath_Defaults!D:D,""),IFERROR(_xludf.XLOOKUP(B1843,CodePath_Defaults!B:B,CodePath_Defaults!D:D,""),""))</f>
        <v/>
      </c>
      <c r="T1843" t="s">
        <v>801</v>
      </c>
    </row>
    <row r="1844" spans="12:20" x14ac:dyDescent="0.35">
      <c r="L1844" t="str">
        <f ca="1">IFERROR(_xludf.XLOOKUP(C1844,CodePath_Defaults!A:A,CodePath_Defaults!D:D,""),IFERROR(_xludf.XLOOKUP(B1844,CodePath_Defaults!B:B,CodePath_Defaults!D:D,""),""))</f>
        <v/>
      </c>
      <c r="T1844" t="s">
        <v>801</v>
      </c>
    </row>
    <row r="1845" spans="12:20" x14ac:dyDescent="0.35">
      <c r="L1845" t="str">
        <f ca="1">IFERROR(_xludf.XLOOKUP(C1845,CodePath_Defaults!A:A,CodePath_Defaults!D:D,""),IFERROR(_xludf.XLOOKUP(B1845,CodePath_Defaults!B:B,CodePath_Defaults!D:D,""),""))</f>
        <v/>
      </c>
      <c r="T1845" t="s">
        <v>801</v>
      </c>
    </row>
    <row r="1846" spans="12:20" x14ac:dyDescent="0.35">
      <c r="L1846" t="str">
        <f ca="1">IFERROR(_xludf.XLOOKUP(C1846,CodePath_Defaults!A:A,CodePath_Defaults!D:D,""),IFERROR(_xludf.XLOOKUP(B1846,CodePath_Defaults!B:B,CodePath_Defaults!D:D,""),""))</f>
        <v/>
      </c>
      <c r="T1846" t="s">
        <v>801</v>
      </c>
    </row>
    <row r="1847" spans="12:20" x14ac:dyDescent="0.35">
      <c r="L1847" t="str">
        <f ca="1">IFERROR(_xludf.XLOOKUP(C1847,CodePath_Defaults!A:A,CodePath_Defaults!D:D,""),IFERROR(_xludf.XLOOKUP(B1847,CodePath_Defaults!B:B,CodePath_Defaults!D:D,""),""))</f>
        <v/>
      </c>
      <c r="T1847" t="s">
        <v>801</v>
      </c>
    </row>
    <row r="1848" spans="12:20" x14ac:dyDescent="0.35">
      <c r="L1848" t="str">
        <f ca="1">IFERROR(_xludf.XLOOKUP(C1848,CodePath_Defaults!A:A,CodePath_Defaults!D:D,""),IFERROR(_xludf.XLOOKUP(B1848,CodePath_Defaults!B:B,CodePath_Defaults!D:D,""),""))</f>
        <v/>
      </c>
      <c r="T1848" t="s">
        <v>801</v>
      </c>
    </row>
    <row r="1849" spans="12:20" x14ac:dyDescent="0.35">
      <c r="L1849" t="str">
        <f ca="1">IFERROR(_xludf.XLOOKUP(C1849,CodePath_Defaults!A:A,CodePath_Defaults!D:D,""),IFERROR(_xludf.XLOOKUP(B1849,CodePath_Defaults!B:B,CodePath_Defaults!D:D,""),""))</f>
        <v/>
      </c>
      <c r="T1849" t="s">
        <v>801</v>
      </c>
    </row>
    <row r="1850" spans="12:20" x14ac:dyDescent="0.35">
      <c r="L1850" t="str">
        <f ca="1">IFERROR(_xludf.XLOOKUP(C1850,CodePath_Defaults!A:A,CodePath_Defaults!D:D,""),IFERROR(_xludf.XLOOKUP(B1850,CodePath_Defaults!B:B,CodePath_Defaults!D:D,""),""))</f>
        <v/>
      </c>
      <c r="T1850" t="s">
        <v>801</v>
      </c>
    </row>
    <row r="1851" spans="12:20" x14ac:dyDescent="0.35">
      <c r="L1851" t="str">
        <f ca="1">IFERROR(_xludf.XLOOKUP(C1851,CodePath_Defaults!A:A,CodePath_Defaults!D:D,""),IFERROR(_xludf.XLOOKUP(B1851,CodePath_Defaults!B:B,CodePath_Defaults!D:D,""),""))</f>
        <v/>
      </c>
      <c r="T1851" t="s">
        <v>801</v>
      </c>
    </row>
    <row r="1852" spans="12:20" x14ac:dyDescent="0.35">
      <c r="L1852" t="str">
        <f ca="1">IFERROR(_xludf.XLOOKUP(C1852,CodePath_Defaults!A:A,CodePath_Defaults!D:D,""),IFERROR(_xludf.XLOOKUP(B1852,CodePath_Defaults!B:B,CodePath_Defaults!D:D,""),""))</f>
        <v/>
      </c>
      <c r="T1852" t="s">
        <v>801</v>
      </c>
    </row>
    <row r="1853" spans="12:20" x14ac:dyDescent="0.35">
      <c r="L1853" t="str">
        <f ca="1">IFERROR(_xludf.XLOOKUP(C1853,CodePath_Defaults!A:A,CodePath_Defaults!D:D,""),IFERROR(_xludf.XLOOKUP(B1853,CodePath_Defaults!B:B,CodePath_Defaults!D:D,""),""))</f>
        <v/>
      </c>
      <c r="T1853" t="s">
        <v>801</v>
      </c>
    </row>
    <row r="1854" spans="12:20" x14ac:dyDescent="0.35">
      <c r="L1854" t="str">
        <f ca="1">IFERROR(_xludf.XLOOKUP(C1854,CodePath_Defaults!A:A,CodePath_Defaults!D:D,""),IFERROR(_xludf.XLOOKUP(B1854,CodePath_Defaults!B:B,CodePath_Defaults!D:D,""),""))</f>
        <v/>
      </c>
      <c r="T1854" t="s">
        <v>801</v>
      </c>
    </row>
    <row r="1855" spans="12:20" x14ac:dyDescent="0.35">
      <c r="L1855" t="str">
        <f ca="1">IFERROR(_xludf.XLOOKUP(C1855,CodePath_Defaults!A:A,CodePath_Defaults!D:D,""),IFERROR(_xludf.XLOOKUP(B1855,CodePath_Defaults!B:B,CodePath_Defaults!D:D,""),""))</f>
        <v/>
      </c>
      <c r="T1855" t="s">
        <v>801</v>
      </c>
    </row>
    <row r="1856" spans="12:20" x14ac:dyDescent="0.35">
      <c r="L1856" t="str">
        <f ca="1">IFERROR(_xludf.XLOOKUP(C1856,CodePath_Defaults!A:A,CodePath_Defaults!D:D,""),IFERROR(_xludf.XLOOKUP(B1856,CodePath_Defaults!B:B,CodePath_Defaults!D:D,""),""))</f>
        <v/>
      </c>
      <c r="T1856" t="s">
        <v>801</v>
      </c>
    </row>
    <row r="1857" spans="12:20" x14ac:dyDescent="0.35">
      <c r="L1857" t="str">
        <f ca="1">IFERROR(_xludf.XLOOKUP(C1857,CodePath_Defaults!A:A,CodePath_Defaults!D:D,""),IFERROR(_xludf.XLOOKUP(B1857,CodePath_Defaults!B:B,CodePath_Defaults!D:D,""),""))</f>
        <v/>
      </c>
      <c r="T1857" t="s">
        <v>801</v>
      </c>
    </row>
    <row r="1858" spans="12:20" x14ac:dyDescent="0.35">
      <c r="L1858" t="str">
        <f ca="1">IFERROR(_xludf.XLOOKUP(C1858,CodePath_Defaults!A:A,CodePath_Defaults!D:D,""),IFERROR(_xludf.XLOOKUP(B1858,CodePath_Defaults!B:B,CodePath_Defaults!D:D,""),""))</f>
        <v/>
      </c>
      <c r="T1858" t="s">
        <v>801</v>
      </c>
    </row>
    <row r="1859" spans="12:20" x14ac:dyDescent="0.35">
      <c r="L1859" t="str">
        <f ca="1">IFERROR(_xludf.XLOOKUP(C1859,CodePath_Defaults!A:A,CodePath_Defaults!D:D,""),IFERROR(_xludf.XLOOKUP(B1859,CodePath_Defaults!B:B,CodePath_Defaults!D:D,""),""))</f>
        <v/>
      </c>
      <c r="T1859" t="s">
        <v>801</v>
      </c>
    </row>
    <row r="1860" spans="12:20" x14ac:dyDescent="0.35">
      <c r="L1860" t="str">
        <f ca="1">IFERROR(_xludf.XLOOKUP(C1860,CodePath_Defaults!A:A,CodePath_Defaults!D:D,""),IFERROR(_xludf.XLOOKUP(B1860,CodePath_Defaults!B:B,CodePath_Defaults!D:D,""),""))</f>
        <v/>
      </c>
      <c r="T1860" t="s">
        <v>801</v>
      </c>
    </row>
    <row r="1861" spans="12:20" x14ac:dyDescent="0.35">
      <c r="L1861" t="str">
        <f ca="1">IFERROR(_xludf.XLOOKUP(C1861,CodePath_Defaults!A:A,CodePath_Defaults!D:D,""),IFERROR(_xludf.XLOOKUP(B1861,CodePath_Defaults!B:B,CodePath_Defaults!D:D,""),""))</f>
        <v/>
      </c>
      <c r="T1861" t="s">
        <v>801</v>
      </c>
    </row>
    <row r="1862" spans="12:20" x14ac:dyDescent="0.35">
      <c r="L1862" t="str">
        <f ca="1">IFERROR(_xludf.XLOOKUP(C1862,CodePath_Defaults!A:A,CodePath_Defaults!D:D,""),IFERROR(_xludf.XLOOKUP(B1862,CodePath_Defaults!B:B,CodePath_Defaults!D:D,""),""))</f>
        <v/>
      </c>
      <c r="T1862" t="s">
        <v>801</v>
      </c>
    </row>
    <row r="1863" spans="12:20" x14ac:dyDescent="0.35">
      <c r="L1863" t="str">
        <f ca="1">IFERROR(_xludf.XLOOKUP(C1863,CodePath_Defaults!A:A,CodePath_Defaults!D:D,""),IFERROR(_xludf.XLOOKUP(B1863,CodePath_Defaults!B:B,CodePath_Defaults!D:D,""),""))</f>
        <v/>
      </c>
      <c r="T1863" t="s">
        <v>801</v>
      </c>
    </row>
    <row r="1864" spans="12:20" x14ac:dyDescent="0.35">
      <c r="L1864" t="str">
        <f ca="1">IFERROR(_xludf.XLOOKUP(C1864,CodePath_Defaults!A:A,CodePath_Defaults!D:D,""),IFERROR(_xludf.XLOOKUP(B1864,CodePath_Defaults!B:B,CodePath_Defaults!D:D,""),""))</f>
        <v/>
      </c>
      <c r="T1864" t="s">
        <v>801</v>
      </c>
    </row>
    <row r="1865" spans="12:20" x14ac:dyDescent="0.35">
      <c r="L1865" t="str">
        <f ca="1">IFERROR(_xludf.XLOOKUP(C1865,CodePath_Defaults!A:A,CodePath_Defaults!D:D,""),IFERROR(_xludf.XLOOKUP(B1865,CodePath_Defaults!B:B,CodePath_Defaults!D:D,""),""))</f>
        <v/>
      </c>
      <c r="T1865" t="s">
        <v>801</v>
      </c>
    </row>
    <row r="1866" spans="12:20" x14ac:dyDescent="0.35">
      <c r="L1866" t="str">
        <f ca="1">IFERROR(_xludf.XLOOKUP(C1866,CodePath_Defaults!A:A,CodePath_Defaults!D:D,""),IFERROR(_xludf.XLOOKUP(B1866,CodePath_Defaults!B:B,CodePath_Defaults!D:D,""),""))</f>
        <v/>
      </c>
      <c r="T1866" t="s">
        <v>801</v>
      </c>
    </row>
    <row r="1867" spans="12:20" x14ac:dyDescent="0.35">
      <c r="L1867" t="str">
        <f ca="1">IFERROR(_xludf.XLOOKUP(C1867,CodePath_Defaults!A:A,CodePath_Defaults!D:D,""),IFERROR(_xludf.XLOOKUP(B1867,CodePath_Defaults!B:B,CodePath_Defaults!D:D,""),""))</f>
        <v/>
      </c>
      <c r="T1867" t="s">
        <v>801</v>
      </c>
    </row>
    <row r="1868" spans="12:20" x14ac:dyDescent="0.35">
      <c r="L1868" t="str">
        <f ca="1">IFERROR(_xludf.XLOOKUP(C1868,CodePath_Defaults!A:A,CodePath_Defaults!D:D,""),IFERROR(_xludf.XLOOKUP(B1868,CodePath_Defaults!B:B,CodePath_Defaults!D:D,""),""))</f>
        <v/>
      </c>
      <c r="T1868" t="s">
        <v>801</v>
      </c>
    </row>
    <row r="1869" spans="12:20" x14ac:dyDescent="0.35">
      <c r="L1869" t="str">
        <f ca="1">IFERROR(_xludf.XLOOKUP(C1869,CodePath_Defaults!A:A,CodePath_Defaults!D:D,""),IFERROR(_xludf.XLOOKUP(B1869,CodePath_Defaults!B:B,CodePath_Defaults!D:D,""),""))</f>
        <v/>
      </c>
      <c r="T1869" t="s">
        <v>801</v>
      </c>
    </row>
    <row r="1870" spans="12:20" x14ac:dyDescent="0.35">
      <c r="L1870" t="str">
        <f ca="1">IFERROR(_xludf.XLOOKUP(C1870,CodePath_Defaults!A:A,CodePath_Defaults!D:D,""),IFERROR(_xludf.XLOOKUP(B1870,CodePath_Defaults!B:B,CodePath_Defaults!D:D,""),""))</f>
        <v/>
      </c>
      <c r="T1870" t="s">
        <v>801</v>
      </c>
    </row>
    <row r="1871" spans="12:20" x14ac:dyDescent="0.35">
      <c r="L1871" t="str">
        <f ca="1">IFERROR(_xludf.XLOOKUP(C1871,CodePath_Defaults!A:A,CodePath_Defaults!D:D,""),IFERROR(_xludf.XLOOKUP(B1871,CodePath_Defaults!B:B,CodePath_Defaults!D:D,""),""))</f>
        <v/>
      </c>
      <c r="T1871" t="s">
        <v>801</v>
      </c>
    </row>
    <row r="1872" spans="12:20" x14ac:dyDescent="0.35">
      <c r="L1872" t="str">
        <f ca="1">IFERROR(_xludf.XLOOKUP(C1872,CodePath_Defaults!A:A,CodePath_Defaults!D:D,""),IFERROR(_xludf.XLOOKUP(B1872,CodePath_Defaults!B:B,CodePath_Defaults!D:D,""),""))</f>
        <v/>
      </c>
      <c r="T1872" t="s">
        <v>801</v>
      </c>
    </row>
    <row r="1873" spans="12:20" x14ac:dyDescent="0.35">
      <c r="L1873" t="str">
        <f ca="1">IFERROR(_xludf.XLOOKUP(C1873,CodePath_Defaults!A:A,CodePath_Defaults!D:D,""),IFERROR(_xludf.XLOOKUP(B1873,CodePath_Defaults!B:B,CodePath_Defaults!D:D,""),""))</f>
        <v/>
      </c>
      <c r="T1873" t="s">
        <v>801</v>
      </c>
    </row>
    <row r="1874" spans="12:20" x14ac:dyDescent="0.35">
      <c r="L1874" t="str">
        <f ca="1">IFERROR(_xludf.XLOOKUP(C1874,CodePath_Defaults!A:A,CodePath_Defaults!D:D,""),IFERROR(_xludf.XLOOKUP(B1874,CodePath_Defaults!B:B,CodePath_Defaults!D:D,""),""))</f>
        <v/>
      </c>
      <c r="T1874" t="s">
        <v>801</v>
      </c>
    </row>
    <row r="1875" spans="12:20" x14ac:dyDescent="0.35">
      <c r="L1875" t="str">
        <f ca="1">IFERROR(_xludf.XLOOKUP(C1875,CodePath_Defaults!A:A,CodePath_Defaults!D:D,""),IFERROR(_xludf.XLOOKUP(B1875,CodePath_Defaults!B:B,CodePath_Defaults!D:D,""),""))</f>
        <v/>
      </c>
      <c r="T1875" t="s">
        <v>801</v>
      </c>
    </row>
    <row r="1876" spans="12:20" x14ac:dyDescent="0.35">
      <c r="L1876" t="str">
        <f ca="1">IFERROR(_xludf.XLOOKUP(C1876,CodePath_Defaults!A:A,CodePath_Defaults!D:D,""),IFERROR(_xludf.XLOOKUP(B1876,CodePath_Defaults!B:B,CodePath_Defaults!D:D,""),""))</f>
        <v/>
      </c>
      <c r="T1876" t="s">
        <v>801</v>
      </c>
    </row>
    <row r="1877" spans="12:20" x14ac:dyDescent="0.35">
      <c r="L1877" t="str">
        <f ca="1">IFERROR(_xludf.XLOOKUP(C1877,CodePath_Defaults!A:A,CodePath_Defaults!D:D,""),IFERROR(_xludf.XLOOKUP(B1877,CodePath_Defaults!B:B,CodePath_Defaults!D:D,""),""))</f>
        <v/>
      </c>
      <c r="T1877" t="s">
        <v>801</v>
      </c>
    </row>
    <row r="1878" spans="12:20" x14ac:dyDescent="0.35">
      <c r="L1878" t="str">
        <f ca="1">IFERROR(_xludf.XLOOKUP(C1878,CodePath_Defaults!A:A,CodePath_Defaults!D:D,""),IFERROR(_xludf.XLOOKUP(B1878,CodePath_Defaults!B:B,CodePath_Defaults!D:D,""),""))</f>
        <v/>
      </c>
      <c r="T1878" t="s">
        <v>801</v>
      </c>
    </row>
    <row r="1879" spans="12:20" x14ac:dyDescent="0.35">
      <c r="L1879" t="str">
        <f ca="1">IFERROR(_xludf.XLOOKUP(C1879,CodePath_Defaults!A:A,CodePath_Defaults!D:D,""),IFERROR(_xludf.XLOOKUP(B1879,CodePath_Defaults!B:B,CodePath_Defaults!D:D,""),""))</f>
        <v/>
      </c>
      <c r="T1879" t="s">
        <v>801</v>
      </c>
    </row>
    <row r="1880" spans="12:20" x14ac:dyDescent="0.35">
      <c r="L1880" t="str">
        <f ca="1">IFERROR(_xludf.XLOOKUP(C1880,CodePath_Defaults!A:A,CodePath_Defaults!D:D,""),IFERROR(_xludf.XLOOKUP(B1880,CodePath_Defaults!B:B,CodePath_Defaults!D:D,""),""))</f>
        <v/>
      </c>
      <c r="T1880" t="s">
        <v>801</v>
      </c>
    </row>
    <row r="1881" spans="12:20" x14ac:dyDescent="0.35">
      <c r="L1881" t="str">
        <f ca="1">IFERROR(_xludf.XLOOKUP(C1881,CodePath_Defaults!A:A,CodePath_Defaults!D:D,""),IFERROR(_xludf.XLOOKUP(B1881,CodePath_Defaults!B:B,CodePath_Defaults!D:D,""),""))</f>
        <v/>
      </c>
      <c r="T1881" t="s">
        <v>801</v>
      </c>
    </row>
    <row r="1882" spans="12:20" x14ac:dyDescent="0.35">
      <c r="L1882" t="str">
        <f ca="1">IFERROR(_xludf.XLOOKUP(C1882,CodePath_Defaults!A:A,CodePath_Defaults!D:D,""),IFERROR(_xludf.XLOOKUP(B1882,CodePath_Defaults!B:B,CodePath_Defaults!D:D,""),""))</f>
        <v/>
      </c>
      <c r="T1882" t="s">
        <v>801</v>
      </c>
    </row>
    <row r="1883" spans="12:20" x14ac:dyDescent="0.35">
      <c r="L1883" t="str">
        <f ca="1">IFERROR(_xludf.XLOOKUP(C1883,CodePath_Defaults!A:A,CodePath_Defaults!D:D,""),IFERROR(_xludf.XLOOKUP(B1883,CodePath_Defaults!B:B,CodePath_Defaults!D:D,""),""))</f>
        <v/>
      </c>
      <c r="T1883" t="s">
        <v>801</v>
      </c>
    </row>
    <row r="1884" spans="12:20" x14ac:dyDescent="0.35">
      <c r="L1884" t="str">
        <f ca="1">IFERROR(_xludf.XLOOKUP(C1884,CodePath_Defaults!A:A,CodePath_Defaults!D:D,""),IFERROR(_xludf.XLOOKUP(B1884,CodePath_Defaults!B:B,CodePath_Defaults!D:D,""),""))</f>
        <v/>
      </c>
      <c r="T1884" t="s">
        <v>801</v>
      </c>
    </row>
    <row r="1885" spans="12:20" x14ac:dyDescent="0.35">
      <c r="L1885" t="str">
        <f ca="1">IFERROR(_xludf.XLOOKUP(C1885,CodePath_Defaults!A:A,CodePath_Defaults!D:D,""),IFERROR(_xludf.XLOOKUP(B1885,CodePath_Defaults!B:B,CodePath_Defaults!D:D,""),""))</f>
        <v/>
      </c>
      <c r="T1885" t="s">
        <v>801</v>
      </c>
    </row>
    <row r="1886" spans="12:20" x14ac:dyDescent="0.35">
      <c r="L1886" t="str">
        <f ca="1">IFERROR(_xludf.XLOOKUP(C1886,CodePath_Defaults!A:A,CodePath_Defaults!D:D,""),IFERROR(_xludf.XLOOKUP(B1886,CodePath_Defaults!B:B,CodePath_Defaults!D:D,""),""))</f>
        <v/>
      </c>
      <c r="T1886" t="s">
        <v>801</v>
      </c>
    </row>
    <row r="1887" spans="12:20" x14ac:dyDescent="0.35">
      <c r="L1887" t="str">
        <f ca="1">IFERROR(_xludf.XLOOKUP(C1887,CodePath_Defaults!A:A,CodePath_Defaults!D:D,""),IFERROR(_xludf.XLOOKUP(B1887,CodePath_Defaults!B:B,CodePath_Defaults!D:D,""),""))</f>
        <v/>
      </c>
      <c r="T1887" t="s">
        <v>801</v>
      </c>
    </row>
    <row r="1888" spans="12:20" x14ac:dyDescent="0.35">
      <c r="L1888" t="str">
        <f ca="1">IFERROR(_xludf.XLOOKUP(C1888,CodePath_Defaults!A:A,CodePath_Defaults!D:D,""),IFERROR(_xludf.XLOOKUP(B1888,CodePath_Defaults!B:B,CodePath_Defaults!D:D,""),""))</f>
        <v/>
      </c>
      <c r="T1888" t="s">
        <v>801</v>
      </c>
    </row>
    <row r="1889" spans="12:20" x14ac:dyDescent="0.35">
      <c r="L1889" t="str">
        <f ca="1">IFERROR(_xludf.XLOOKUP(C1889,CodePath_Defaults!A:A,CodePath_Defaults!D:D,""),IFERROR(_xludf.XLOOKUP(B1889,CodePath_Defaults!B:B,CodePath_Defaults!D:D,""),""))</f>
        <v/>
      </c>
      <c r="T1889" t="s">
        <v>801</v>
      </c>
    </row>
    <row r="1890" spans="12:20" x14ac:dyDescent="0.35">
      <c r="L1890" t="str">
        <f ca="1">IFERROR(_xludf.XLOOKUP(C1890,CodePath_Defaults!A:A,CodePath_Defaults!D:D,""),IFERROR(_xludf.XLOOKUP(B1890,CodePath_Defaults!B:B,CodePath_Defaults!D:D,""),""))</f>
        <v/>
      </c>
      <c r="T1890" t="s">
        <v>801</v>
      </c>
    </row>
    <row r="1891" spans="12:20" x14ac:dyDescent="0.35">
      <c r="L1891" t="str">
        <f ca="1">IFERROR(_xludf.XLOOKUP(C1891,CodePath_Defaults!A:A,CodePath_Defaults!D:D,""),IFERROR(_xludf.XLOOKUP(B1891,CodePath_Defaults!B:B,CodePath_Defaults!D:D,""),""))</f>
        <v/>
      </c>
      <c r="T1891" t="s">
        <v>801</v>
      </c>
    </row>
    <row r="1892" spans="12:20" x14ac:dyDescent="0.35">
      <c r="L1892" t="str">
        <f ca="1">IFERROR(_xludf.XLOOKUP(C1892,CodePath_Defaults!A:A,CodePath_Defaults!D:D,""),IFERROR(_xludf.XLOOKUP(B1892,CodePath_Defaults!B:B,CodePath_Defaults!D:D,""),""))</f>
        <v/>
      </c>
      <c r="T1892" t="s">
        <v>801</v>
      </c>
    </row>
    <row r="1893" spans="12:20" x14ac:dyDescent="0.35">
      <c r="L1893" t="str">
        <f ca="1">IFERROR(_xludf.XLOOKUP(C1893,CodePath_Defaults!A:A,CodePath_Defaults!D:D,""),IFERROR(_xludf.XLOOKUP(B1893,CodePath_Defaults!B:B,CodePath_Defaults!D:D,""),""))</f>
        <v/>
      </c>
      <c r="T1893" t="s">
        <v>801</v>
      </c>
    </row>
    <row r="1894" spans="12:20" x14ac:dyDescent="0.35">
      <c r="L1894" t="str">
        <f ca="1">IFERROR(_xludf.XLOOKUP(C1894,CodePath_Defaults!A:A,CodePath_Defaults!D:D,""),IFERROR(_xludf.XLOOKUP(B1894,CodePath_Defaults!B:B,CodePath_Defaults!D:D,""),""))</f>
        <v/>
      </c>
      <c r="T1894" t="s">
        <v>801</v>
      </c>
    </row>
    <row r="1895" spans="12:20" x14ac:dyDescent="0.35">
      <c r="L1895" t="str">
        <f ca="1">IFERROR(_xludf.XLOOKUP(C1895,CodePath_Defaults!A:A,CodePath_Defaults!D:D,""),IFERROR(_xludf.XLOOKUP(B1895,CodePath_Defaults!B:B,CodePath_Defaults!D:D,""),""))</f>
        <v/>
      </c>
      <c r="T1895" t="s">
        <v>801</v>
      </c>
    </row>
    <row r="1896" spans="12:20" x14ac:dyDescent="0.35">
      <c r="L1896" t="str">
        <f ca="1">IFERROR(_xludf.XLOOKUP(C1896,CodePath_Defaults!A:A,CodePath_Defaults!D:D,""),IFERROR(_xludf.XLOOKUP(B1896,CodePath_Defaults!B:B,CodePath_Defaults!D:D,""),""))</f>
        <v/>
      </c>
      <c r="T1896" t="s">
        <v>801</v>
      </c>
    </row>
    <row r="1897" spans="12:20" x14ac:dyDescent="0.35">
      <c r="L1897" t="str">
        <f ca="1">IFERROR(_xludf.XLOOKUP(C1897,CodePath_Defaults!A:A,CodePath_Defaults!D:D,""),IFERROR(_xludf.XLOOKUP(B1897,CodePath_Defaults!B:B,CodePath_Defaults!D:D,""),""))</f>
        <v/>
      </c>
      <c r="T1897" t="s">
        <v>801</v>
      </c>
    </row>
    <row r="1898" spans="12:20" x14ac:dyDescent="0.35">
      <c r="L1898" t="str">
        <f ca="1">IFERROR(_xludf.XLOOKUP(C1898,CodePath_Defaults!A:A,CodePath_Defaults!D:D,""),IFERROR(_xludf.XLOOKUP(B1898,CodePath_Defaults!B:B,CodePath_Defaults!D:D,""),""))</f>
        <v/>
      </c>
      <c r="T1898" t="s">
        <v>801</v>
      </c>
    </row>
    <row r="1899" spans="12:20" x14ac:dyDescent="0.35">
      <c r="L1899" t="str">
        <f ca="1">IFERROR(_xludf.XLOOKUP(C1899,CodePath_Defaults!A:A,CodePath_Defaults!D:D,""),IFERROR(_xludf.XLOOKUP(B1899,CodePath_Defaults!B:B,CodePath_Defaults!D:D,""),""))</f>
        <v/>
      </c>
      <c r="T1899" t="s">
        <v>801</v>
      </c>
    </row>
    <row r="1900" spans="12:20" x14ac:dyDescent="0.35">
      <c r="L1900" t="str">
        <f ca="1">IFERROR(_xludf.XLOOKUP(C1900,CodePath_Defaults!A:A,CodePath_Defaults!D:D,""),IFERROR(_xludf.XLOOKUP(B1900,CodePath_Defaults!B:B,CodePath_Defaults!D:D,""),""))</f>
        <v/>
      </c>
      <c r="T1900" t="s">
        <v>801</v>
      </c>
    </row>
    <row r="1901" spans="12:20" x14ac:dyDescent="0.35">
      <c r="L1901" t="str">
        <f ca="1">IFERROR(_xludf.XLOOKUP(C1901,CodePath_Defaults!A:A,CodePath_Defaults!D:D,""),IFERROR(_xludf.XLOOKUP(B1901,CodePath_Defaults!B:B,CodePath_Defaults!D:D,""),""))</f>
        <v/>
      </c>
      <c r="T1901" t="s">
        <v>801</v>
      </c>
    </row>
    <row r="1902" spans="12:20" x14ac:dyDescent="0.35">
      <c r="L1902" t="str">
        <f ca="1">IFERROR(_xludf.XLOOKUP(C1902,CodePath_Defaults!A:A,CodePath_Defaults!D:D,""),IFERROR(_xludf.XLOOKUP(B1902,CodePath_Defaults!B:B,CodePath_Defaults!D:D,""),""))</f>
        <v/>
      </c>
      <c r="T1902" t="s">
        <v>801</v>
      </c>
    </row>
    <row r="1903" spans="12:20" x14ac:dyDescent="0.35">
      <c r="L1903" t="str">
        <f ca="1">IFERROR(_xludf.XLOOKUP(C1903,CodePath_Defaults!A:A,CodePath_Defaults!D:D,""),IFERROR(_xludf.XLOOKUP(B1903,CodePath_Defaults!B:B,CodePath_Defaults!D:D,""),""))</f>
        <v/>
      </c>
      <c r="T1903" t="s">
        <v>801</v>
      </c>
    </row>
    <row r="1904" spans="12:20" x14ac:dyDescent="0.35">
      <c r="L1904" t="str">
        <f ca="1">IFERROR(_xludf.XLOOKUP(C1904,CodePath_Defaults!A:A,CodePath_Defaults!D:D,""),IFERROR(_xludf.XLOOKUP(B1904,CodePath_Defaults!B:B,CodePath_Defaults!D:D,""),""))</f>
        <v/>
      </c>
      <c r="T1904" t="s">
        <v>801</v>
      </c>
    </row>
    <row r="1905" spans="12:20" x14ac:dyDescent="0.35">
      <c r="L1905" t="str">
        <f ca="1">IFERROR(_xludf.XLOOKUP(C1905,CodePath_Defaults!A:A,CodePath_Defaults!D:D,""),IFERROR(_xludf.XLOOKUP(B1905,CodePath_Defaults!B:B,CodePath_Defaults!D:D,""),""))</f>
        <v/>
      </c>
      <c r="T1905" t="s">
        <v>801</v>
      </c>
    </row>
    <row r="1906" spans="12:20" x14ac:dyDescent="0.35">
      <c r="L1906" t="str">
        <f ca="1">IFERROR(_xludf.XLOOKUP(C1906,CodePath_Defaults!A:A,CodePath_Defaults!D:D,""),IFERROR(_xludf.XLOOKUP(B1906,CodePath_Defaults!B:B,CodePath_Defaults!D:D,""),""))</f>
        <v/>
      </c>
      <c r="T1906" t="s">
        <v>801</v>
      </c>
    </row>
    <row r="1907" spans="12:20" x14ac:dyDescent="0.35">
      <c r="L1907" t="str">
        <f ca="1">IFERROR(_xludf.XLOOKUP(C1907,CodePath_Defaults!A:A,CodePath_Defaults!D:D,""),IFERROR(_xludf.XLOOKUP(B1907,CodePath_Defaults!B:B,CodePath_Defaults!D:D,""),""))</f>
        <v/>
      </c>
      <c r="T1907" t="s">
        <v>801</v>
      </c>
    </row>
    <row r="1908" spans="12:20" x14ac:dyDescent="0.35">
      <c r="L1908" t="str">
        <f ca="1">IFERROR(_xludf.XLOOKUP(C1908,CodePath_Defaults!A:A,CodePath_Defaults!D:D,""),IFERROR(_xludf.XLOOKUP(B1908,CodePath_Defaults!B:B,CodePath_Defaults!D:D,""),""))</f>
        <v/>
      </c>
      <c r="T1908" t="s">
        <v>801</v>
      </c>
    </row>
    <row r="1909" spans="12:20" x14ac:dyDescent="0.35">
      <c r="L1909" t="str">
        <f ca="1">IFERROR(_xludf.XLOOKUP(C1909,CodePath_Defaults!A:A,CodePath_Defaults!D:D,""),IFERROR(_xludf.XLOOKUP(B1909,CodePath_Defaults!B:B,CodePath_Defaults!D:D,""),""))</f>
        <v/>
      </c>
      <c r="T1909" t="s">
        <v>801</v>
      </c>
    </row>
    <row r="1910" spans="12:20" x14ac:dyDescent="0.35">
      <c r="L1910" t="str">
        <f ca="1">IFERROR(_xludf.XLOOKUP(C1910,CodePath_Defaults!A:A,CodePath_Defaults!D:D,""),IFERROR(_xludf.XLOOKUP(B1910,CodePath_Defaults!B:B,CodePath_Defaults!D:D,""),""))</f>
        <v/>
      </c>
      <c r="T1910" t="s">
        <v>801</v>
      </c>
    </row>
    <row r="1911" spans="12:20" x14ac:dyDescent="0.35">
      <c r="L1911" t="str">
        <f ca="1">IFERROR(_xludf.XLOOKUP(C1911,CodePath_Defaults!A:A,CodePath_Defaults!D:D,""),IFERROR(_xludf.XLOOKUP(B1911,CodePath_Defaults!B:B,CodePath_Defaults!D:D,""),""))</f>
        <v/>
      </c>
      <c r="T1911" t="s">
        <v>801</v>
      </c>
    </row>
    <row r="1912" spans="12:20" x14ac:dyDescent="0.35">
      <c r="L1912" t="str">
        <f ca="1">IFERROR(_xludf.XLOOKUP(C1912,CodePath_Defaults!A:A,CodePath_Defaults!D:D,""),IFERROR(_xludf.XLOOKUP(B1912,CodePath_Defaults!B:B,CodePath_Defaults!D:D,""),""))</f>
        <v/>
      </c>
      <c r="T1912" t="s">
        <v>801</v>
      </c>
    </row>
    <row r="1913" spans="12:20" x14ac:dyDescent="0.35">
      <c r="L1913" t="str">
        <f ca="1">IFERROR(_xludf.XLOOKUP(C1913,CodePath_Defaults!A:A,CodePath_Defaults!D:D,""),IFERROR(_xludf.XLOOKUP(B1913,CodePath_Defaults!B:B,CodePath_Defaults!D:D,""),""))</f>
        <v/>
      </c>
      <c r="T1913" t="s">
        <v>801</v>
      </c>
    </row>
    <row r="1914" spans="12:20" x14ac:dyDescent="0.35">
      <c r="L1914" t="str">
        <f ca="1">IFERROR(_xludf.XLOOKUP(C1914,CodePath_Defaults!A:A,CodePath_Defaults!D:D,""),IFERROR(_xludf.XLOOKUP(B1914,CodePath_Defaults!B:B,CodePath_Defaults!D:D,""),""))</f>
        <v/>
      </c>
      <c r="T1914" t="s">
        <v>801</v>
      </c>
    </row>
    <row r="1915" spans="12:20" x14ac:dyDescent="0.35">
      <c r="L1915" t="str">
        <f ca="1">IFERROR(_xludf.XLOOKUP(C1915,CodePath_Defaults!A:A,CodePath_Defaults!D:D,""),IFERROR(_xludf.XLOOKUP(B1915,CodePath_Defaults!B:B,CodePath_Defaults!D:D,""),""))</f>
        <v/>
      </c>
      <c r="T1915" t="s">
        <v>801</v>
      </c>
    </row>
    <row r="1916" spans="12:20" x14ac:dyDescent="0.35">
      <c r="L1916" t="str">
        <f ca="1">IFERROR(_xludf.XLOOKUP(C1916,CodePath_Defaults!A:A,CodePath_Defaults!D:D,""),IFERROR(_xludf.XLOOKUP(B1916,CodePath_Defaults!B:B,CodePath_Defaults!D:D,""),""))</f>
        <v/>
      </c>
      <c r="T1916" t="s">
        <v>801</v>
      </c>
    </row>
    <row r="1917" spans="12:20" x14ac:dyDescent="0.35">
      <c r="L1917" t="str">
        <f ca="1">IFERROR(_xludf.XLOOKUP(C1917,CodePath_Defaults!A:A,CodePath_Defaults!D:D,""),IFERROR(_xludf.XLOOKUP(B1917,CodePath_Defaults!B:B,CodePath_Defaults!D:D,""),""))</f>
        <v/>
      </c>
      <c r="T1917" t="s">
        <v>801</v>
      </c>
    </row>
    <row r="1918" spans="12:20" x14ac:dyDescent="0.35">
      <c r="L1918" t="str">
        <f ca="1">IFERROR(_xludf.XLOOKUP(C1918,CodePath_Defaults!A:A,CodePath_Defaults!D:D,""),IFERROR(_xludf.XLOOKUP(B1918,CodePath_Defaults!B:B,CodePath_Defaults!D:D,""),""))</f>
        <v/>
      </c>
      <c r="T1918" t="s">
        <v>801</v>
      </c>
    </row>
    <row r="1919" spans="12:20" x14ac:dyDescent="0.35">
      <c r="L1919" t="str">
        <f ca="1">IFERROR(_xludf.XLOOKUP(C1919,CodePath_Defaults!A:A,CodePath_Defaults!D:D,""),IFERROR(_xludf.XLOOKUP(B1919,CodePath_Defaults!B:B,CodePath_Defaults!D:D,""),""))</f>
        <v/>
      </c>
      <c r="T1919" t="s">
        <v>801</v>
      </c>
    </row>
    <row r="1920" spans="12:20" x14ac:dyDescent="0.35">
      <c r="L1920" t="str">
        <f ca="1">IFERROR(_xludf.XLOOKUP(C1920,CodePath_Defaults!A:A,CodePath_Defaults!D:D,""),IFERROR(_xludf.XLOOKUP(B1920,CodePath_Defaults!B:B,CodePath_Defaults!D:D,""),""))</f>
        <v/>
      </c>
      <c r="T1920" t="s">
        <v>801</v>
      </c>
    </row>
    <row r="1921" spans="12:20" x14ac:dyDescent="0.35">
      <c r="L1921" t="str">
        <f ca="1">IFERROR(_xludf.XLOOKUP(C1921,CodePath_Defaults!A:A,CodePath_Defaults!D:D,""),IFERROR(_xludf.XLOOKUP(B1921,CodePath_Defaults!B:B,CodePath_Defaults!D:D,""),""))</f>
        <v/>
      </c>
      <c r="T1921" t="s">
        <v>801</v>
      </c>
    </row>
    <row r="1922" spans="12:20" x14ac:dyDescent="0.35">
      <c r="L1922" t="str">
        <f ca="1">IFERROR(_xludf.XLOOKUP(C1922,CodePath_Defaults!A:A,CodePath_Defaults!D:D,""),IFERROR(_xludf.XLOOKUP(B1922,CodePath_Defaults!B:B,CodePath_Defaults!D:D,""),""))</f>
        <v/>
      </c>
      <c r="T1922" t="s">
        <v>801</v>
      </c>
    </row>
    <row r="1923" spans="12:20" x14ac:dyDescent="0.35">
      <c r="L1923" t="str">
        <f ca="1">IFERROR(_xludf.XLOOKUP(C1923,CodePath_Defaults!A:A,CodePath_Defaults!D:D,""),IFERROR(_xludf.XLOOKUP(B1923,CodePath_Defaults!B:B,CodePath_Defaults!D:D,""),""))</f>
        <v/>
      </c>
      <c r="T1923" t="s">
        <v>801</v>
      </c>
    </row>
    <row r="1924" spans="12:20" x14ac:dyDescent="0.35">
      <c r="L1924" t="str">
        <f ca="1">IFERROR(_xludf.XLOOKUP(C1924,CodePath_Defaults!A:A,CodePath_Defaults!D:D,""),IFERROR(_xludf.XLOOKUP(B1924,CodePath_Defaults!B:B,CodePath_Defaults!D:D,""),""))</f>
        <v/>
      </c>
      <c r="T1924" t="s">
        <v>801</v>
      </c>
    </row>
    <row r="1925" spans="12:20" x14ac:dyDescent="0.35">
      <c r="L1925" t="str">
        <f ca="1">IFERROR(_xludf.XLOOKUP(C1925,CodePath_Defaults!A:A,CodePath_Defaults!D:D,""),IFERROR(_xludf.XLOOKUP(B1925,CodePath_Defaults!B:B,CodePath_Defaults!D:D,""),""))</f>
        <v/>
      </c>
      <c r="T1925" t="s">
        <v>801</v>
      </c>
    </row>
    <row r="1926" spans="12:20" x14ac:dyDescent="0.35">
      <c r="L1926" t="str">
        <f ca="1">IFERROR(_xludf.XLOOKUP(C1926,CodePath_Defaults!A:A,CodePath_Defaults!D:D,""),IFERROR(_xludf.XLOOKUP(B1926,CodePath_Defaults!B:B,CodePath_Defaults!D:D,""),""))</f>
        <v/>
      </c>
      <c r="T1926" t="s">
        <v>801</v>
      </c>
    </row>
    <row r="1927" spans="12:20" x14ac:dyDescent="0.35">
      <c r="L1927" t="str">
        <f ca="1">IFERROR(_xludf.XLOOKUP(C1927,CodePath_Defaults!A:A,CodePath_Defaults!D:D,""),IFERROR(_xludf.XLOOKUP(B1927,CodePath_Defaults!B:B,CodePath_Defaults!D:D,""),""))</f>
        <v/>
      </c>
      <c r="T1927" t="s">
        <v>801</v>
      </c>
    </row>
    <row r="1928" spans="12:20" x14ac:dyDescent="0.35">
      <c r="L1928" t="str">
        <f ca="1">IFERROR(_xludf.XLOOKUP(C1928,CodePath_Defaults!A:A,CodePath_Defaults!D:D,""),IFERROR(_xludf.XLOOKUP(B1928,CodePath_Defaults!B:B,CodePath_Defaults!D:D,""),""))</f>
        <v/>
      </c>
      <c r="T1928" t="s">
        <v>801</v>
      </c>
    </row>
    <row r="1929" spans="12:20" x14ac:dyDescent="0.35">
      <c r="L1929" t="str">
        <f ca="1">IFERROR(_xludf.XLOOKUP(C1929,CodePath_Defaults!A:A,CodePath_Defaults!D:D,""),IFERROR(_xludf.XLOOKUP(B1929,CodePath_Defaults!B:B,CodePath_Defaults!D:D,""),""))</f>
        <v/>
      </c>
      <c r="T1929" t="s">
        <v>801</v>
      </c>
    </row>
    <row r="1930" spans="12:20" x14ac:dyDescent="0.35">
      <c r="L1930" t="str">
        <f ca="1">IFERROR(_xludf.XLOOKUP(C1930,CodePath_Defaults!A:A,CodePath_Defaults!D:D,""),IFERROR(_xludf.XLOOKUP(B1930,CodePath_Defaults!B:B,CodePath_Defaults!D:D,""),""))</f>
        <v/>
      </c>
      <c r="T1930" t="s">
        <v>801</v>
      </c>
    </row>
    <row r="1931" spans="12:20" x14ac:dyDescent="0.35">
      <c r="L1931" t="str">
        <f ca="1">IFERROR(_xludf.XLOOKUP(C1931,CodePath_Defaults!A:A,CodePath_Defaults!D:D,""),IFERROR(_xludf.XLOOKUP(B1931,CodePath_Defaults!B:B,CodePath_Defaults!D:D,""),""))</f>
        <v/>
      </c>
      <c r="T1931" t="s">
        <v>801</v>
      </c>
    </row>
    <row r="1932" spans="12:20" x14ac:dyDescent="0.35">
      <c r="L1932" t="str">
        <f ca="1">IFERROR(_xludf.XLOOKUP(C1932,CodePath_Defaults!A:A,CodePath_Defaults!D:D,""),IFERROR(_xludf.XLOOKUP(B1932,CodePath_Defaults!B:B,CodePath_Defaults!D:D,""),""))</f>
        <v/>
      </c>
      <c r="T1932" t="s">
        <v>801</v>
      </c>
    </row>
    <row r="1933" spans="12:20" x14ac:dyDescent="0.35">
      <c r="L1933" t="str">
        <f ca="1">IFERROR(_xludf.XLOOKUP(C1933,CodePath_Defaults!A:A,CodePath_Defaults!D:D,""),IFERROR(_xludf.XLOOKUP(B1933,CodePath_Defaults!B:B,CodePath_Defaults!D:D,""),""))</f>
        <v/>
      </c>
      <c r="T1933" t="s">
        <v>801</v>
      </c>
    </row>
    <row r="1934" spans="12:20" x14ac:dyDescent="0.35">
      <c r="L1934" t="str">
        <f ca="1">IFERROR(_xludf.XLOOKUP(C1934,CodePath_Defaults!A:A,CodePath_Defaults!D:D,""),IFERROR(_xludf.XLOOKUP(B1934,CodePath_Defaults!B:B,CodePath_Defaults!D:D,""),""))</f>
        <v/>
      </c>
      <c r="T1934" t="s">
        <v>801</v>
      </c>
    </row>
    <row r="1935" spans="12:20" x14ac:dyDescent="0.35">
      <c r="L1935" t="str">
        <f ca="1">IFERROR(_xludf.XLOOKUP(C1935,CodePath_Defaults!A:A,CodePath_Defaults!D:D,""),IFERROR(_xludf.XLOOKUP(B1935,CodePath_Defaults!B:B,CodePath_Defaults!D:D,""),""))</f>
        <v/>
      </c>
      <c r="T1935" t="s">
        <v>801</v>
      </c>
    </row>
    <row r="1936" spans="12:20" x14ac:dyDescent="0.35">
      <c r="L1936" t="str">
        <f ca="1">IFERROR(_xludf.XLOOKUP(C1936,CodePath_Defaults!A:A,CodePath_Defaults!D:D,""),IFERROR(_xludf.XLOOKUP(B1936,CodePath_Defaults!B:B,CodePath_Defaults!D:D,""),""))</f>
        <v/>
      </c>
      <c r="T1936" t="s">
        <v>801</v>
      </c>
    </row>
    <row r="1937" spans="12:20" x14ac:dyDescent="0.35">
      <c r="L1937" t="str">
        <f ca="1">IFERROR(_xludf.XLOOKUP(C1937,CodePath_Defaults!A:A,CodePath_Defaults!D:D,""),IFERROR(_xludf.XLOOKUP(B1937,CodePath_Defaults!B:B,CodePath_Defaults!D:D,""),""))</f>
        <v/>
      </c>
      <c r="T1937" t="s">
        <v>801</v>
      </c>
    </row>
    <row r="1938" spans="12:20" x14ac:dyDescent="0.35">
      <c r="L1938" t="str">
        <f ca="1">IFERROR(_xludf.XLOOKUP(C1938,CodePath_Defaults!A:A,CodePath_Defaults!D:D,""),IFERROR(_xludf.XLOOKUP(B1938,CodePath_Defaults!B:B,CodePath_Defaults!D:D,""),""))</f>
        <v/>
      </c>
      <c r="T1938" t="s">
        <v>801</v>
      </c>
    </row>
    <row r="1939" spans="12:20" x14ac:dyDescent="0.35">
      <c r="L1939" t="str">
        <f ca="1">IFERROR(_xludf.XLOOKUP(C1939,CodePath_Defaults!A:A,CodePath_Defaults!D:D,""),IFERROR(_xludf.XLOOKUP(B1939,CodePath_Defaults!B:B,CodePath_Defaults!D:D,""),""))</f>
        <v/>
      </c>
      <c r="T1939" t="s">
        <v>801</v>
      </c>
    </row>
    <row r="1940" spans="12:20" x14ac:dyDescent="0.35">
      <c r="L1940" t="str">
        <f ca="1">IFERROR(_xludf.XLOOKUP(C1940,CodePath_Defaults!A:A,CodePath_Defaults!D:D,""),IFERROR(_xludf.XLOOKUP(B1940,CodePath_Defaults!B:B,CodePath_Defaults!D:D,""),""))</f>
        <v/>
      </c>
      <c r="T1940" t="s">
        <v>801</v>
      </c>
    </row>
    <row r="1941" spans="12:20" x14ac:dyDescent="0.35">
      <c r="L1941" t="str">
        <f ca="1">IFERROR(_xludf.XLOOKUP(C1941,CodePath_Defaults!A:A,CodePath_Defaults!D:D,""),IFERROR(_xludf.XLOOKUP(B1941,CodePath_Defaults!B:B,CodePath_Defaults!D:D,""),""))</f>
        <v/>
      </c>
      <c r="T1941" t="s">
        <v>801</v>
      </c>
    </row>
    <row r="1942" spans="12:20" x14ac:dyDescent="0.35">
      <c r="L1942" t="str">
        <f ca="1">IFERROR(_xludf.XLOOKUP(C1942,CodePath_Defaults!A:A,CodePath_Defaults!D:D,""),IFERROR(_xludf.XLOOKUP(B1942,CodePath_Defaults!B:B,CodePath_Defaults!D:D,""),""))</f>
        <v/>
      </c>
      <c r="T1942" t="s">
        <v>801</v>
      </c>
    </row>
    <row r="1943" spans="12:20" x14ac:dyDescent="0.35">
      <c r="L1943" t="str">
        <f ca="1">IFERROR(_xludf.XLOOKUP(C1943,CodePath_Defaults!A:A,CodePath_Defaults!D:D,""),IFERROR(_xludf.XLOOKUP(B1943,CodePath_Defaults!B:B,CodePath_Defaults!D:D,""),""))</f>
        <v/>
      </c>
      <c r="T1943" t="s">
        <v>801</v>
      </c>
    </row>
    <row r="1944" spans="12:20" x14ac:dyDescent="0.35">
      <c r="L1944" t="str">
        <f ca="1">IFERROR(_xludf.XLOOKUP(C1944,CodePath_Defaults!A:A,CodePath_Defaults!D:D,""),IFERROR(_xludf.XLOOKUP(B1944,CodePath_Defaults!B:B,CodePath_Defaults!D:D,""),""))</f>
        <v/>
      </c>
      <c r="T1944" t="s">
        <v>801</v>
      </c>
    </row>
    <row r="1945" spans="12:20" x14ac:dyDescent="0.35">
      <c r="L1945" t="str">
        <f ca="1">IFERROR(_xludf.XLOOKUP(C1945,CodePath_Defaults!A:A,CodePath_Defaults!D:D,""),IFERROR(_xludf.XLOOKUP(B1945,CodePath_Defaults!B:B,CodePath_Defaults!D:D,""),""))</f>
        <v/>
      </c>
      <c r="T1945" t="s">
        <v>801</v>
      </c>
    </row>
    <row r="1946" spans="12:20" x14ac:dyDescent="0.35">
      <c r="L1946" t="str">
        <f ca="1">IFERROR(_xludf.XLOOKUP(C1946,CodePath_Defaults!A:A,CodePath_Defaults!D:D,""),IFERROR(_xludf.XLOOKUP(B1946,CodePath_Defaults!B:B,CodePath_Defaults!D:D,""),""))</f>
        <v/>
      </c>
      <c r="T1946" t="s">
        <v>801</v>
      </c>
    </row>
    <row r="1947" spans="12:20" x14ac:dyDescent="0.35">
      <c r="L1947" t="str">
        <f ca="1">IFERROR(_xludf.XLOOKUP(C1947,CodePath_Defaults!A:A,CodePath_Defaults!D:D,""),IFERROR(_xludf.XLOOKUP(B1947,CodePath_Defaults!B:B,CodePath_Defaults!D:D,""),""))</f>
        <v/>
      </c>
      <c r="T1947" t="s">
        <v>801</v>
      </c>
    </row>
    <row r="1948" spans="12:20" x14ac:dyDescent="0.35">
      <c r="L1948" t="str">
        <f ca="1">IFERROR(_xludf.XLOOKUP(C1948,CodePath_Defaults!A:A,CodePath_Defaults!D:D,""),IFERROR(_xludf.XLOOKUP(B1948,CodePath_Defaults!B:B,CodePath_Defaults!D:D,""),""))</f>
        <v/>
      </c>
      <c r="T1948" t="s">
        <v>801</v>
      </c>
    </row>
    <row r="1949" spans="12:20" x14ac:dyDescent="0.35">
      <c r="L1949" t="str">
        <f ca="1">IFERROR(_xludf.XLOOKUP(C1949,CodePath_Defaults!A:A,CodePath_Defaults!D:D,""),IFERROR(_xludf.XLOOKUP(B1949,CodePath_Defaults!B:B,CodePath_Defaults!D:D,""),""))</f>
        <v/>
      </c>
      <c r="T1949" t="s">
        <v>801</v>
      </c>
    </row>
    <row r="1950" spans="12:20" x14ac:dyDescent="0.35">
      <c r="L1950" t="str">
        <f ca="1">IFERROR(_xludf.XLOOKUP(C1950,CodePath_Defaults!A:A,CodePath_Defaults!D:D,""),IFERROR(_xludf.XLOOKUP(B1950,CodePath_Defaults!B:B,CodePath_Defaults!D:D,""),""))</f>
        <v/>
      </c>
      <c r="T1950" t="s">
        <v>801</v>
      </c>
    </row>
    <row r="1951" spans="12:20" x14ac:dyDescent="0.35">
      <c r="L1951" t="str">
        <f ca="1">IFERROR(_xludf.XLOOKUP(C1951,CodePath_Defaults!A:A,CodePath_Defaults!D:D,""),IFERROR(_xludf.XLOOKUP(B1951,CodePath_Defaults!B:B,CodePath_Defaults!D:D,""),""))</f>
        <v/>
      </c>
      <c r="T1951" t="s">
        <v>801</v>
      </c>
    </row>
    <row r="1952" spans="12:20" x14ac:dyDescent="0.35">
      <c r="L1952" t="str">
        <f ca="1">IFERROR(_xludf.XLOOKUP(C1952,CodePath_Defaults!A:A,CodePath_Defaults!D:D,""),IFERROR(_xludf.XLOOKUP(B1952,CodePath_Defaults!B:B,CodePath_Defaults!D:D,""),""))</f>
        <v/>
      </c>
      <c r="T1952" t="s">
        <v>801</v>
      </c>
    </row>
    <row r="1953" spans="12:20" x14ac:dyDescent="0.35">
      <c r="L1953" t="str">
        <f ca="1">IFERROR(_xludf.XLOOKUP(C1953,CodePath_Defaults!A:A,CodePath_Defaults!D:D,""),IFERROR(_xludf.XLOOKUP(B1953,CodePath_Defaults!B:B,CodePath_Defaults!D:D,""),""))</f>
        <v/>
      </c>
      <c r="T1953" t="s">
        <v>801</v>
      </c>
    </row>
    <row r="1954" spans="12:20" x14ac:dyDescent="0.35">
      <c r="L1954" t="str">
        <f ca="1">IFERROR(_xludf.XLOOKUP(C1954,CodePath_Defaults!A:A,CodePath_Defaults!D:D,""),IFERROR(_xludf.XLOOKUP(B1954,CodePath_Defaults!B:B,CodePath_Defaults!D:D,""),""))</f>
        <v/>
      </c>
      <c r="T1954" t="s">
        <v>801</v>
      </c>
    </row>
    <row r="1955" spans="12:20" x14ac:dyDescent="0.35">
      <c r="L1955" t="str">
        <f ca="1">IFERROR(_xludf.XLOOKUP(C1955,CodePath_Defaults!A:A,CodePath_Defaults!D:D,""),IFERROR(_xludf.XLOOKUP(B1955,CodePath_Defaults!B:B,CodePath_Defaults!D:D,""),""))</f>
        <v/>
      </c>
      <c r="T1955" t="s">
        <v>801</v>
      </c>
    </row>
    <row r="1956" spans="12:20" x14ac:dyDescent="0.35">
      <c r="L1956" t="str">
        <f ca="1">IFERROR(_xludf.XLOOKUP(C1956,CodePath_Defaults!A:A,CodePath_Defaults!D:D,""),IFERROR(_xludf.XLOOKUP(B1956,CodePath_Defaults!B:B,CodePath_Defaults!D:D,""),""))</f>
        <v/>
      </c>
      <c r="T1956" t="s">
        <v>801</v>
      </c>
    </row>
    <row r="1957" spans="12:20" x14ac:dyDescent="0.35">
      <c r="L1957" t="str">
        <f ca="1">IFERROR(_xludf.XLOOKUP(C1957,CodePath_Defaults!A:A,CodePath_Defaults!D:D,""),IFERROR(_xludf.XLOOKUP(B1957,CodePath_Defaults!B:B,CodePath_Defaults!D:D,""),""))</f>
        <v/>
      </c>
      <c r="T1957" t="s">
        <v>801</v>
      </c>
    </row>
    <row r="1958" spans="12:20" x14ac:dyDescent="0.35">
      <c r="L1958" t="str">
        <f ca="1">IFERROR(_xludf.XLOOKUP(C1958,CodePath_Defaults!A:A,CodePath_Defaults!D:D,""),IFERROR(_xludf.XLOOKUP(B1958,CodePath_Defaults!B:B,CodePath_Defaults!D:D,""),""))</f>
        <v/>
      </c>
      <c r="T1958" t="s">
        <v>801</v>
      </c>
    </row>
    <row r="1959" spans="12:20" x14ac:dyDescent="0.35">
      <c r="L1959" t="str">
        <f ca="1">IFERROR(_xludf.XLOOKUP(C1959,CodePath_Defaults!A:A,CodePath_Defaults!D:D,""),IFERROR(_xludf.XLOOKUP(B1959,CodePath_Defaults!B:B,CodePath_Defaults!D:D,""),""))</f>
        <v/>
      </c>
      <c r="T1959" t="s">
        <v>801</v>
      </c>
    </row>
    <row r="1960" spans="12:20" x14ac:dyDescent="0.35">
      <c r="L1960" t="str">
        <f ca="1">IFERROR(_xludf.XLOOKUP(C1960,CodePath_Defaults!A:A,CodePath_Defaults!D:D,""),IFERROR(_xludf.XLOOKUP(B1960,CodePath_Defaults!B:B,CodePath_Defaults!D:D,""),""))</f>
        <v/>
      </c>
      <c r="T1960" t="s">
        <v>801</v>
      </c>
    </row>
    <row r="1961" spans="12:20" x14ac:dyDescent="0.35">
      <c r="L1961" t="str">
        <f ca="1">IFERROR(_xludf.XLOOKUP(C1961,CodePath_Defaults!A:A,CodePath_Defaults!D:D,""),IFERROR(_xludf.XLOOKUP(B1961,CodePath_Defaults!B:B,CodePath_Defaults!D:D,""),""))</f>
        <v/>
      </c>
      <c r="T1961" t="s">
        <v>801</v>
      </c>
    </row>
    <row r="1962" spans="12:20" x14ac:dyDescent="0.35">
      <c r="L1962" t="str">
        <f ca="1">IFERROR(_xludf.XLOOKUP(C1962,CodePath_Defaults!A:A,CodePath_Defaults!D:D,""),IFERROR(_xludf.XLOOKUP(B1962,CodePath_Defaults!B:B,CodePath_Defaults!D:D,""),""))</f>
        <v/>
      </c>
      <c r="T1962" t="s">
        <v>801</v>
      </c>
    </row>
    <row r="1963" spans="12:20" x14ac:dyDescent="0.35">
      <c r="L1963" t="str">
        <f ca="1">IFERROR(_xludf.XLOOKUP(C1963,CodePath_Defaults!A:A,CodePath_Defaults!D:D,""),IFERROR(_xludf.XLOOKUP(B1963,CodePath_Defaults!B:B,CodePath_Defaults!D:D,""),""))</f>
        <v/>
      </c>
      <c r="T1963" t="s">
        <v>801</v>
      </c>
    </row>
    <row r="1964" spans="12:20" x14ac:dyDescent="0.35">
      <c r="L1964" t="str">
        <f ca="1">IFERROR(_xludf.XLOOKUP(C1964,CodePath_Defaults!A:A,CodePath_Defaults!D:D,""),IFERROR(_xludf.XLOOKUP(B1964,CodePath_Defaults!B:B,CodePath_Defaults!D:D,""),""))</f>
        <v/>
      </c>
      <c r="T1964" t="s">
        <v>801</v>
      </c>
    </row>
    <row r="1965" spans="12:20" x14ac:dyDescent="0.35">
      <c r="L1965" t="str">
        <f ca="1">IFERROR(_xludf.XLOOKUP(C1965,CodePath_Defaults!A:A,CodePath_Defaults!D:D,""),IFERROR(_xludf.XLOOKUP(B1965,CodePath_Defaults!B:B,CodePath_Defaults!D:D,""),""))</f>
        <v/>
      </c>
      <c r="T1965" t="s">
        <v>801</v>
      </c>
    </row>
    <row r="1966" spans="12:20" x14ac:dyDescent="0.35">
      <c r="L1966" t="str">
        <f ca="1">IFERROR(_xludf.XLOOKUP(C1966,CodePath_Defaults!A:A,CodePath_Defaults!D:D,""),IFERROR(_xludf.XLOOKUP(B1966,CodePath_Defaults!B:B,CodePath_Defaults!D:D,""),""))</f>
        <v/>
      </c>
      <c r="T1966" t="s">
        <v>801</v>
      </c>
    </row>
    <row r="1967" spans="12:20" x14ac:dyDescent="0.35">
      <c r="L1967" t="str">
        <f ca="1">IFERROR(_xludf.XLOOKUP(C1967,CodePath_Defaults!A:A,CodePath_Defaults!D:D,""),IFERROR(_xludf.XLOOKUP(B1967,CodePath_Defaults!B:B,CodePath_Defaults!D:D,""),""))</f>
        <v/>
      </c>
      <c r="T1967" t="s">
        <v>801</v>
      </c>
    </row>
    <row r="1968" spans="12:20" x14ac:dyDescent="0.35">
      <c r="L1968" t="str">
        <f ca="1">IFERROR(_xludf.XLOOKUP(C1968,CodePath_Defaults!A:A,CodePath_Defaults!D:D,""),IFERROR(_xludf.XLOOKUP(B1968,CodePath_Defaults!B:B,CodePath_Defaults!D:D,""),""))</f>
        <v/>
      </c>
      <c r="T1968" t="s">
        <v>801</v>
      </c>
    </row>
    <row r="1969" spans="12:20" x14ac:dyDescent="0.35">
      <c r="L1969" t="str">
        <f ca="1">IFERROR(_xludf.XLOOKUP(C1969,CodePath_Defaults!A:A,CodePath_Defaults!D:D,""),IFERROR(_xludf.XLOOKUP(B1969,CodePath_Defaults!B:B,CodePath_Defaults!D:D,""),""))</f>
        <v/>
      </c>
      <c r="T1969" t="s">
        <v>801</v>
      </c>
    </row>
    <row r="1970" spans="12:20" x14ac:dyDescent="0.35">
      <c r="L1970" t="str">
        <f ca="1">IFERROR(_xludf.XLOOKUP(C1970,CodePath_Defaults!A:A,CodePath_Defaults!D:D,""),IFERROR(_xludf.XLOOKUP(B1970,CodePath_Defaults!B:B,CodePath_Defaults!D:D,""),""))</f>
        <v/>
      </c>
      <c r="T1970" t="s">
        <v>801</v>
      </c>
    </row>
    <row r="1971" spans="12:20" x14ac:dyDescent="0.35">
      <c r="L1971" t="str">
        <f ca="1">IFERROR(_xludf.XLOOKUP(C1971,CodePath_Defaults!A:A,CodePath_Defaults!D:D,""),IFERROR(_xludf.XLOOKUP(B1971,CodePath_Defaults!B:B,CodePath_Defaults!D:D,""),""))</f>
        <v/>
      </c>
      <c r="T1971" t="s">
        <v>801</v>
      </c>
    </row>
    <row r="1972" spans="12:20" x14ac:dyDescent="0.35">
      <c r="L1972" t="str">
        <f ca="1">IFERROR(_xludf.XLOOKUP(C1972,CodePath_Defaults!A:A,CodePath_Defaults!D:D,""),IFERROR(_xludf.XLOOKUP(B1972,CodePath_Defaults!B:B,CodePath_Defaults!D:D,""),""))</f>
        <v/>
      </c>
      <c r="T1972" t="s">
        <v>801</v>
      </c>
    </row>
    <row r="1973" spans="12:20" x14ac:dyDescent="0.35">
      <c r="L1973" t="str">
        <f ca="1">IFERROR(_xludf.XLOOKUP(C1973,CodePath_Defaults!A:A,CodePath_Defaults!D:D,""),IFERROR(_xludf.XLOOKUP(B1973,CodePath_Defaults!B:B,CodePath_Defaults!D:D,""),""))</f>
        <v/>
      </c>
      <c r="T1973" t="s">
        <v>801</v>
      </c>
    </row>
    <row r="1974" spans="12:20" x14ac:dyDescent="0.35">
      <c r="L1974" t="str">
        <f ca="1">IFERROR(_xludf.XLOOKUP(C1974,CodePath_Defaults!A:A,CodePath_Defaults!D:D,""),IFERROR(_xludf.XLOOKUP(B1974,CodePath_Defaults!B:B,CodePath_Defaults!D:D,""),""))</f>
        <v/>
      </c>
      <c r="T1974" t="s">
        <v>801</v>
      </c>
    </row>
    <row r="1975" spans="12:20" x14ac:dyDescent="0.35">
      <c r="L1975" t="str">
        <f ca="1">IFERROR(_xludf.XLOOKUP(C1975,CodePath_Defaults!A:A,CodePath_Defaults!D:D,""),IFERROR(_xludf.XLOOKUP(B1975,CodePath_Defaults!B:B,CodePath_Defaults!D:D,""),""))</f>
        <v/>
      </c>
      <c r="T1975" t="s">
        <v>801</v>
      </c>
    </row>
    <row r="1976" spans="12:20" x14ac:dyDescent="0.35">
      <c r="L1976" t="str">
        <f ca="1">IFERROR(_xludf.XLOOKUP(C1976,CodePath_Defaults!A:A,CodePath_Defaults!D:D,""),IFERROR(_xludf.XLOOKUP(B1976,CodePath_Defaults!B:B,CodePath_Defaults!D:D,""),""))</f>
        <v/>
      </c>
      <c r="T1976" t="s">
        <v>801</v>
      </c>
    </row>
    <row r="1977" spans="12:20" x14ac:dyDescent="0.35">
      <c r="L1977" t="str">
        <f ca="1">IFERROR(_xludf.XLOOKUP(C1977,CodePath_Defaults!A:A,CodePath_Defaults!D:D,""),IFERROR(_xludf.XLOOKUP(B1977,CodePath_Defaults!B:B,CodePath_Defaults!D:D,""),""))</f>
        <v/>
      </c>
      <c r="T1977" t="s">
        <v>801</v>
      </c>
    </row>
    <row r="1978" spans="12:20" x14ac:dyDescent="0.35">
      <c r="L1978" t="str">
        <f ca="1">IFERROR(_xludf.XLOOKUP(C1978,CodePath_Defaults!A:A,CodePath_Defaults!D:D,""),IFERROR(_xludf.XLOOKUP(B1978,CodePath_Defaults!B:B,CodePath_Defaults!D:D,""),""))</f>
        <v/>
      </c>
      <c r="T1978" t="s">
        <v>801</v>
      </c>
    </row>
    <row r="1979" spans="12:20" x14ac:dyDescent="0.35">
      <c r="L1979" t="str">
        <f ca="1">IFERROR(_xludf.XLOOKUP(C1979,CodePath_Defaults!A:A,CodePath_Defaults!D:D,""),IFERROR(_xludf.XLOOKUP(B1979,CodePath_Defaults!B:B,CodePath_Defaults!D:D,""),""))</f>
        <v/>
      </c>
      <c r="T1979" t="s">
        <v>801</v>
      </c>
    </row>
    <row r="1980" spans="12:20" x14ac:dyDescent="0.35">
      <c r="L1980" t="str">
        <f ca="1">IFERROR(_xludf.XLOOKUP(C1980,CodePath_Defaults!A:A,CodePath_Defaults!D:D,""),IFERROR(_xludf.XLOOKUP(B1980,CodePath_Defaults!B:B,CodePath_Defaults!D:D,""),""))</f>
        <v/>
      </c>
      <c r="T1980" t="s">
        <v>801</v>
      </c>
    </row>
    <row r="1981" spans="12:20" x14ac:dyDescent="0.35">
      <c r="L1981" t="str">
        <f ca="1">IFERROR(_xludf.XLOOKUP(C1981,CodePath_Defaults!A:A,CodePath_Defaults!D:D,""),IFERROR(_xludf.XLOOKUP(B1981,CodePath_Defaults!B:B,CodePath_Defaults!D:D,""),""))</f>
        <v/>
      </c>
      <c r="T1981" t="s">
        <v>801</v>
      </c>
    </row>
    <row r="1982" spans="12:20" x14ac:dyDescent="0.35">
      <c r="L1982" t="str">
        <f ca="1">IFERROR(_xludf.XLOOKUP(C1982,CodePath_Defaults!A:A,CodePath_Defaults!D:D,""),IFERROR(_xludf.XLOOKUP(B1982,CodePath_Defaults!B:B,CodePath_Defaults!D:D,""),""))</f>
        <v/>
      </c>
      <c r="T1982" t="s">
        <v>801</v>
      </c>
    </row>
    <row r="1983" spans="12:20" x14ac:dyDescent="0.35">
      <c r="L1983" t="str">
        <f ca="1">IFERROR(_xludf.XLOOKUP(C1983,CodePath_Defaults!A:A,CodePath_Defaults!D:D,""),IFERROR(_xludf.XLOOKUP(B1983,CodePath_Defaults!B:B,CodePath_Defaults!D:D,""),""))</f>
        <v/>
      </c>
      <c r="T1983" t="s">
        <v>801</v>
      </c>
    </row>
    <row r="1984" spans="12:20" x14ac:dyDescent="0.35">
      <c r="L1984" t="str">
        <f ca="1">IFERROR(_xludf.XLOOKUP(C1984,CodePath_Defaults!A:A,CodePath_Defaults!D:D,""),IFERROR(_xludf.XLOOKUP(B1984,CodePath_Defaults!B:B,CodePath_Defaults!D:D,""),""))</f>
        <v/>
      </c>
      <c r="T1984" t="s">
        <v>801</v>
      </c>
    </row>
    <row r="1985" spans="12:20" x14ac:dyDescent="0.35">
      <c r="L1985" t="str">
        <f ca="1">IFERROR(_xludf.XLOOKUP(C1985,CodePath_Defaults!A:A,CodePath_Defaults!D:D,""),IFERROR(_xludf.XLOOKUP(B1985,CodePath_Defaults!B:B,CodePath_Defaults!D:D,""),""))</f>
        <v/>
      </c>
      <c r="T1985" t="s">
        <v>801</v>
      </c>
    </row>
    <row r="1986" spans="12:20" x14ac:dyDescent="0.35">
      <c r="L1986" t="str">
        <f ca="1">IFERROR(_xludf.XLOOKUP(C1986,CodePath_Defaults!A:A,CodePath_Defaults!D:D,""),IFERROR(_xludf.XLOOKUP(B1986,CodePath_Defaults!B:B,CodePath_Defaults!D:D,""),""))</f>
        <v/>
      </c>
      <c r="T1986" t="s">
        <v>801</v>
      </c>
    </row>
    <row r="1987" spans="12:20" x14ac:dyDescent="0.35">
      <c r="L1987" t="str">
        <f ca="1">IFERROR(_xludf.XLOOKUP(C1987,CodePath_Defaults!A:A,CodePath_Defaults!D:D,""),IFERROR(_xludf.XLOOKUP(B1987,CodePath_Defaults!B:B,CodePath_Defaults!D:D,""),""))</f>
        <v/>
      </c>
      <c r="T1987" t="s">
        <v>801</v>
      </c>
    </row>
    <row r="1988" spans="12:20" x14ac:dyDescent="0.35">
      <c r="L1988" t="str">
        <f ca="1">IFERROR(_xludf.XLOOKUP(C1988,CodePath_Defaults!A:A,CodePath_Defaults!D:D,""),IFERROR(_xludf.XLOOKUP(B1988,CodePath_Defaults!B:B,CodePath_Defaults!D:D,""),""))</f>
        <v/>
      </c>
      <c r="T1988" t="s">
        <v>801</v>
      </c>
    </row>
    <row r="1989" spans="12:20" x14ac:dyDescent="0.35">
      <c r="L1989" t="str">
        <f ca="1">IFERROR(_xludf.XLOOKUP(C1989,CodePath_Defaults!A:A,CodePath_Defaults!D:D,""),IFERROR(_xludf.XLOOKUP(B1989,CodePath_Defaults!B:B,CodePath_Defaults!D:D,""),""))</f>
        <v/>
      </c>
      <c r="T1989" t="s">
        <v>801</v>
      </c>
    </row>
    <row r="1990" spans="12:20" x14ac:dyDescent="0.35">
      <c r="L1990" t="str">
        <f ca="1">IFERROR(_xludf.XLOOKUP(C1990,CodePath_Defaults!A:A,CodePath_Defaults!D:D,""),IFERROR(_xludf.XLOOKUP(B1990,CodePath_Defaults!B:B,CodePath_Defaults!D:D,""),""))</f>
        <v/>
      </c>
      <c r="T1990" t="s">
        <v>801</v>
      </c>
    </row>
    <row r="1991" spans="12:20" x14ac:dyDescent="0.35">
      <c r="L1991" t="str">
        <f ca="1">IFERROR(_xludf.XLOOKUP(C1991,CodePath_Defaults!A:A,CodePath_Defaults!D:D,""),IFERROR(_xludf.XLOOKUP(B1991,CodePath_Defaults!B:B,CodePath_Defaults!D:D,""),""))</f>
        <v/>
      </c>
      <c r="T1991" t="s">
        <v>801</v>
      </c>
    </row>
    <row r="1992" spans="12:20" x14ac:dyDescent="0.35">
      <c r="L1992" t="str">
        <f ca="1">IFERROR(_xludf.XLOOKUP(C1992,CodePath_Defaults!A:A,CodePath_Defaults!D:D,""),IFERROR(_xludf.XLOOKUP(B1992,CodePath_Defaults!B:B,CodePath_Defaults!D:D,""),""))</f>
        <v/>
      </c>
      <c r="T1992" t="s">
        <v>801</v>
      </c>
    </row>
    <row r="1993" spans="12:20" x14ac:dyDescent="0.35">
      <c r="L1993" t="str">
        <f ca="1">IFERROR(_xludf.XLOOKUP(C1993,CodePath_Defaults!A:A,CodePath_Defaults!D:D,""),IFERROR(_xludf.XLOOKUP(B1993,CodePath_Defaults!B:B,CodePath_Defaults!D:D,""),""))</f>
        <v/>
      </c>
      <c r="T1993" t="s">
        <v>801</v>
      </c>
    </row>
    <row r="1994" spans="12:20" x14ac:dyDescent="0.35">
      <c r="L1994" t="str">
        <f ca="1">IFERROR(_xludf.XLOOKUP(C1994,CodePath_Defaults!A:A,CodePath_Defaults!D:D,""),IFERROR(_xludf.XLOOKUP(B1994,CodePath_Defaults!B:B,CodePath_Defaults!D:D,""),""))</f>
        <v/>
      </c>
      <c r="T1994" t="s">
        <v>801</v>
      </c>
    </row>
    <row r="1995" spans="12:20" x14ac:dyDescent="0.35">
      <c r="L1995" t="str">
        <f ca="1">IFERROR(_xludf.XLOOKUP(C1995,CodePath_Defaults!A:A,CodePath_Defaults!D:D,""),IFERROR(_xludf.XLOOKUP(B1995,CodePath_Defaults!B:B,CodePath_Defaults!D:D,""),""))</f>
        <v/>
      </c>
      <c r="T1995" t="s">
        <v>801</v>
      </c>
    </row>
    <row r="1996" spans="12:20" x14ac:dyDescent="0.35">
      <c r="L1996" t="str">
        <f ca="1">IFERROR(_xludf.XLOOKUP(C1996,CodePath_Defaults!A:A,CodePath_Defaults!D:D,""),IFERROR(_xludf.XLOOKUP(B1996,CodePath_Defaults!B:B,CodePath_Defaults!D:D,""),""))</f>
        <v/>
      </c>
      <c r="T1996" t="s">
        <v>801</v>
      </c>
    </row>
    <row r="1997" spans="12:20" x14ac:dyDescent="0.35">
      <c r="L1997" t="str">
        <f ca="1">IFERROR(_xludf.XLOOKUP(C1997,CodePath_Defaults!A:A,CodePath_Defaults!D:D,""),IFERROR(_xludf.XLOOKUP(B1997,CodePath_Defaults!B:B,CodePath_Defaults!D:D,""),""))</f>
        <v/>
      </c>
      <c r="T1997" t="s">
        <v>801</v>
      </c>
    </row>
    <row r="1998" spans="12:20" x14ac:dyDescent="0.35">
      <c r="L1998" t="str">
        <f ca="1">IFERROR(_xludf.XLOOKUP(C1998,CodePath_Defaults!A:A,CodePath_Defaults!D:D,""),IFERROR(_xludf.XLOOKUP(B1998,CodePath_Defaults!B:B,CodePath_Defaults!D:D,""),""))</f>
        <v/>
      </c>
      <c r="T1998" t="s">
        <v>801</v>
      </c>
    </row>
    <row r="1999" spans="12:20" x14ac:dyDescent="0.35">
      <c r="L1999" t="str">
        <f ca="1">IFERROR(_xludf.XLOOKUP(C1999,CodePath_Defaults!A:A,CodePath_Defaults!D:D,""),IFERROR(_xludf.XLOOKUP(B1999,CodePath_Defaults!B:B,CodePath_Defaults!D:D,""),""))</f>
        <v/>
      </c>
      <c r="T1999" t="s">
        <v>801</v>
      </c>
    </row>
    <row r="2000" spans="12:20" x14ac:dyDescent="0.35">
      <c r="L2000" t="str">
        <f ca="1">IFERROR(_xludf.XLOOKUP(C2000,CodePath_Defaults!A:A,CodePath_Defaults!D:D,""),IFERROR(_xludf.XLOOKUP(B2000,CodePath_Defaults!B:B,CodePath_Defaults!D:D,""),""))</f>
        <v/>
      </c>
      <c r="T2000" t="s">
        <v>801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0000000}">
          <x14:formula1>
            <xm:f>Dropdown_Lists!$E$1:$E$7</xm:f>
          </x14:formula1>
          <xm:sqref>E2:E2000</xm:sqref>
        </x14:dataValidation>
        <x14:dataValidation type="list" allowBlank="1" xr:uid="{00000000-0002-0000-0200-000001000000}">
          <x14:formula1>
            <xm:f>Dropdown_Lists!$F$1:$F$4</xm:f>
          </x14:formula1>
          <xm:sqref>F2:F2000</xm:sqref>
        </x14:dataValidation>
        <x14:dataValidation type="list" allowBlank="1" xr:uid="{00000000-0002-0000-0200-000002000000}">
          <x14:formula1>
            <xm:f>Dropdown_Lists!$B$1:$B$4</xm:f>
          </x14:formula1>
          <xm:sqref>G2:G2000</xm:sqref>
        </x14:dataValidation>
        <x14:dataValidation type="list" allowBlank="1" xr:uid="{00000000-0002-0000-0200-000003000000}">
          <x14:formula1>
            <xm:f>Dropdown_Lists!$D$1:$D$4</xm:f>
          </x14:formula1>
          <xm:sqref>I2:I2000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5"/>
  <sheetViews>
    <sheetView workbookViewId="0"/>
  </sheetViews>
  <sheetFormatPr defaultRowHeight="14.5" x14ac:dyDescent="0.35"/>
  <cols>
    <col min="1" max="1" width="28" customWidth="1"/>
    <col min="2" max="2" width="14" customWidth="1"/>
    <col min="3" max="3" width="28" customWidth="1"/>
    <col min="4" max="4" width="58" customWidth="1"/>
    <col min="5" max="5" width="16" customWidth="1"/>
  </cols>
  <sheetData>
    <row r="1" spans="1:5" x14ac:dyDescent="0.35">
      <c r="A1" s="18" t="s">
        <v>16</v>
      </c>
      <c r="B1" s="18" t="s">
        <v>785</v>
      </c>
      <c r="C1" s="18" t="s">
        <v>791</v>
      </c>
      <c r="D1" s="18" t="s">
        <v>18</v>
      </c>
      <c r="E1" s="18" t="s">
        <v>15</v>
      </c>
    </row>
    <row r="2" spans="1:5" x14ac:dyDescent="0.35">
      <c r="A2" t="s">
        <v>28</v>
      </c>
      <c r="B2" t="s">
        <v>21</v>
      </c>
      <c r="C2" t="s">
        <v>22</v>
      </c>
      <c r="E2" t="s">
        <v>27</v>
      </c>
    </row>
    <row r="3" spans="1:5" x14ac:dyDescent="0.35">
      <c r="A3" t="s">
        <v>33</v>
      </c>
      <c r="B3" t="s">
        <v>30</v>
      </c>
      <c r="C3" t="s">
        <v>22</v>
      </c>
      <c r="E3" t="s">
        <v>27</v>
      </c>
    </row>
    <row r="4" spans="1:5" x14ac:dyDescent="0.35">
      <c r="A4" t="s">
        <v>37</v>
      </c>
      <c r="B4" t="s">
        <v>34</v>
      </c>
      <c r="C4" t="s">
        <v>22</v>
      </c>
      <c r="E4" t="s">
        <v>27</v>
      </c>
    </row>
    <row r="5" spans="1:5" x14ac:dyDescent="0.35">
      <c r="A5" t="s">
        <v>41</v>
      </c>
      <c r="B5" t="s">
        <v>38</v>
      </c>
      <c r="C5" t="s">
        <v>22</v>
      </c>
      <c r="E5" t="s">
        <v>27</v>
      </c>
    </row>
    <row r="6" spans="1:5" x14ac:dyDescent="0.35">
      <c r="A6" t="s">
        <v>45</v>
      </c>
      <c r="B6" t="s">
        <v>42</v>
      </c>
      <c r="C6" t="s">
        <v>22</v>
      </c>
      <c r="E6" t="s">
        <v>27</v>
      </c>
    </row>
    <row r="7" spans="1:5" x14ac:dyDescent="0.35">
      <c r="A7" t="s">
        <v>50</v>
      </c>
      <c r="B7" t="s">
        <v>46</v>
      </c>
      <c r="C7" t="s">
        <v>47</v>
      </c>
      <c r="E7" t="s">
        <v>27</v>
      </c>
    </row>
    <row r="8" spans="1:5" x14ac:dyDescent="0.35">
      <c r="A8" t="s">
        <v>54</v>
      </c>
      <c r="B8" t="s">
        <v>51</v>
      </c>
      <c r="C8" t="s">
        <v>47</v>
      </c>
      <c r="E8" t="s">
        <v>27</v>
      </c>
    </row>
    <row r="9" spans="1:5" x14ac:dyDescent="0.35">
      <c r="A9" t="s">
        <v>59</v>
      </c>
      <c r="B9" t="s">
        <v>55</v>
      </c>
      <c r="C9" t="s">
        <v>56</v>
      </c>
      <c r="E9" t="s">
        <v>27</v>
      </c>
    </row>
    <row r="10" spans="1:5" x14ac:dyDescent="0.35">
      <c r="A10" t="s">
        <v>65</v>
      </c>
      <c r="B10" t="s">
        <v>61</v>
      </c>
      <c r="C10" t="s">
        <v>62</v>
      </c>
      <c r="E10" t="s">
        <v>27</v>
      </c>
    </row>
    <row r="11" spans="1:5" x14ac:dyDescent="0.35">
      <c r="A11" t="s">
        <v>70</v>
      </c>
      <c r="B11" t="s">
        <v>67</v>
      </c>
      <c r="C11" t="s">
        <v>62</v>
      </c>
      <c r="E11" t="s">
        <v>27</v>
      </c>
    </row>
    <row r="12" spans="1:5" x14ac:dyDescent="0.35">
      <c r="A12" t="s">
        <v>75</v>
      </c>
      <c r="B12" t="s">
        <v>71</v>
      </c>
      <c r="C12" t="s">
        <v>72</v>
      </c>
      <c r="E12" t="s">
        <v>27</v>
      </c>
    </row>
    <row r="13" spans="1:5" x14ac:dyDescent="0.35">
      <c r="A13" t="s">
        <v>79</v>
      </c>
      <c r="B13" t="s">
        <v>76</v>
      </c>
      <c r="C13" t="s">
        <v>72</v>
      </c>
      <c r="E13" t="s">
        <v>27</v>
      </c>
    </row>
    <row r="14" spans="1:5" x14ac:dyDescent="0.35">
      <c r="A14" t="s">
        <v>84</v>
      </c>
      <c r="B14" t="s">
        <v>80</v>
      </c>
      <c r="C14" t="s">
        <v>81</v>
      </c>
      <c r="E14" t="s">
        <v>27</v>
      </c>
    </row>
    <row r="15" spans="1:5" x14ac:dyDescent="0.35">
      <c r="A15" t="s">
        <v>88</v>
      </c>
      <c r="B15" t="s">
        <v>85</v>
      </c>
      <c r="C15" t="s">
        <v>81</v>
      </c>
      <c r="E15" t="s">
        <v>27</v>
      </c>
    </row>
    <row r="16" spans="1:5" x14ac:dyDescent="0.35">
      <c r="A16" t="s">
        <v>92</v>
      </c>
      <c r="B16" t="s">
        <v>89</v>
      </c>
      <c r="C16" t="s">
        <v>81</v>
      </c>
      <c r="E16" t="s">
        <v>27</v>
      </c>
    </row>
    <row r="17" spans="1:5" x14ac:dyDescent="0.35">
      <c r="A17" t="s">
        <v>96</v>
      </c>
      <c r="B17" t="s">
        <v>93</v>
      </c>
      <c r="C17" t="s">
        <v>81</v>
      </c>
      <c r="E17" t="s">
        <v>27</v>
      </c>
    </row>
    <row r="18" spans="1:5" x14ac:dyDescent="0.35">
      <c r="A18" t="s">
        <v>100</v>
      </c>
      <c r="B18" t="s">
        <v>97</v>
      </c>
      <c r="C18" t="s">
        <v>81</v>
      </c>
      <c r="E18" t="s">
        <v>27</v>
      </c>
    </row>
    <row r="19" spans="1:5" x14ac:dyDescent="0.35">
      <c r="A19" t="s">
        <v>105</v>
      </c>
      <c r="B19" t="s">
        <v>101</v>
      </c>
      <c r="C19" t="s">
        <v>102</v>
      </c>
      <c r="E19" t="s">
        <v>27</v>
      </c>
    </row>
    <row r="20" spans="1:5" x14ac:dyDescent="0.35">
      <c r="A20" t="s">
        <v>110</v>
      </c>
      <c r="B20" t="s">
        <v>106</v>
      </c>
      <c r="C20" t="s">
        <v>107</v>
      </c>
      <c r="E20" t="s">
        <v>27</v>
      </c>
    </row>
    <row r="21" spans="1:5" x14ac:dyDescent="0.35">
      <c r="A21" t="s">
        <v>114</v>
      </c>
      <c r="B21" t="s">
        <v>111</v>
      </c>
      <c r="C21" t="s">
        <v>107</v>
      </c>
      <c r="E21" t="s">
        <v>27</v>
      </c>
    </row>
    <row r="22" spans="1:5" x14ac:dyDescent="0.35">
      <c r="A22" t="s">
        <v>118</v>
      </c>
      <c r="B22" t="s">
        <v>115</v>
      </c>
      <c r="C22" t="s">
        <v>107</v>
      </c>
      <c r="E22" t="s">
        <v>27</v>
      </c>
    </row>
    <row r="23" spans="1:5" x14ac:dyDescent="0.35">
      <c r="A23" t="s">
        <v>122</v>
      </c>
      <c r="B23" t="s">
        <v>119</v>
      </c>
      <c r="C23" t="s">
        <v>107</v>
      </c>
      <c r="E23" t="s">
        <v>27</v>
      </c>
    </row>
    <row r="24" spans="1:5" x14ac:dyDescent="0.35">
      <c r="A24" t="s">
        <v>126</v>
      </c>
      <c r="B24" t="s">
        <v>123</v>
      </c>
      <c r="C24" t="s">
        <v>107</v>
      </c>
      <c r="E24" t="s">
        <v>27</v>
      </c>
    </row>
    <row r="25" spans="1:5" x14ac:dyDescent="0.35">
      <c r="A25" t="s">
        <v>130</v>
      </c>
      <c r="B25" t="s">
        <v>127</v>
      </c>
      <c r="C25" t="s">
        <v>107</v>
      </c>
      <c r="E25" t="s">
        <v>27</v>
      </c>
    </row>
    <row r="26" spans="1:5" x14ac:dyDescent="0.35">
      <c r="A26" t="s">
        <v>134</v>
      </c>
      <c r="B26" t="s">
        <v>131</v>
      </c>
      <c r="C26" t="s">
        <v>107</v>
      </c>
      <c r="E26" t="s">
        <v>27</v>
      </c>
    </row>
    <row r="27" spans="1:5" x14ac:dyDescent="0.35">
      <c r="A27" t="s">
        <v>140</v>
      </c>
      <c r="B27" t="s">
        <v>136</v>
      </c>
      <c r="C27" t="s">
        <v>137</v>
      </c>
      <c r="E27" t="s">
        <v>27</v>
      </c>
    </row>
    <row r="28" spans="1:5" x14ac:dyDescent="0.35">
      <c r="A28" t="s">
        <v>144</v>
      </c>
      <c r="B28" t="s">
        <v>141</v>
      </c>
      <c r="C28" t="s">
        <v>137</v>
      </c>
      <c r="E28" t="s">
        <v>27</v>
      </c>
    </row>
    <row r="29" spans="1:5" x14ac:dyDescent="0.35">
      <c r="A29" t="s">
        <v>149</v>
      </c>
      <c r="B29" t="s">
        <v>145</v>
      </c>
      <c r="C29" t="s">
        <v>146</v>
      </c>
      <c r="E29" t="s">
        <v>27</v>
      </c>
    </row>
    <row r="30" spans="1:5" x14ac:dyDescent="0.35">
      <c r="A30" t="s">
        <v>153</v>
      </c>
      <c r="B30" t="s">
        <v>150</v>
      </c>
      <c r="C30" t="s">
        <v>146</v>
      </c>
      <c r="E30" t="s">
        <v>27</v>
      </c>
    </row>
    <row r="31" spans="1:5" x14ac:dyDescent="0.35">
      <c r="A31" t="s">
        <v>158</v>
      </c>
      <c r="B31" t="s">
        <v>154</v>
      </c>
      <c r="C31" t="s">
        <v>155</v>
      </c>
      <c r="E31" t="s">
        <v>27</v>
      </c>
    </row>
    <row r="32" spans="1:5" x14ac:dyDescent="0.35">
      <c r="A32" t="s">
        <v>162</v>
      </c>
      <c r="B32" t="s">
        <v>159</v>
      </c>
      <c r="C32" t="s">
        <v>155</v>
      </c>
      <c r="E32" t="s">
        <v>27</v>
      </c>
    </row>
    <row r="33" spans="1:5" x14ac:dyDescent="0.35">
      <c r="A33" t="s">
        <v>166</v>
      </c>
      <c r="B33" t="s">
        <v>163</v>
      </c>
      <c r="C33" t="s">
        <v>155</v>
      </c>
      <c r="E33" t="s">
        <v>27</v>
      </c>
    </row>
    <row r="34" spans="1:5" x14ac:dyDescent="0.35">
      <c r="A34" t="s">
        <v>170</v>
      </c>
      <c r="B34" t="s">
        <v>167</v>
      </c>
      <c r="C34" t="s">
        <v>155</v>
      </c>
      <c r="E34" t="s">
        <v>27</v>
      </c>
    </row>
    <row r="35" spans="1:5" x14ac:dyDescent="0.35">
      <c r="A35" t="s">
        <v>174</v>
      </c>
      <c r="B35" t="s">
        <v>171</v>
      </c>
      <c r="C35" t="s">
        <v>155</v>
      </c>
      <c r="E35" t="s">
        <v>27</v>
      </c>
    </row>
    <row r="36" spans="1:5" x14ac:dyDescent="0.35">
      <c r="A36" t="s">
        <v>178</v>
      </c>
      <c r="B36" t="s">
        <v>175</v>
      </c>
      <c r="C36" t="s">
        <v>155</v>
      </c>
      <c r="E36" t="s">
        <v>27</v>
      </c>
    </row>
    <row r="37" spans="1:5" x14ac:dyDescent="0.35">
      <c r="A37" t="s">
        <v>183</v>
      </c>
      <c r="B37" t="s">
        <v>179</v>
      </c>
      <c r="C37" t="s">
        <v>180</v>
      </c>
      <c r="E37" t="s">
        <v>27</v>
      </c>
    </row>
    <row r="38" spans="1:5" x14ac:dyDescent="0.35">
      <c r="A38" t="s">
        <v>187</v>
      </c>
      <c r="B38" t="s">
        <v>184</v>
      </c>
      <c r="C38" t="s">
        <v>180</v>
      </c>
      <c r="E38" t="s">
        <v>27</v>
      </c>
    </row>
    <row r="39" spans="1:5" x14ac:dyDescent="0.35">
      <c r="A39" t="s">
        <v>191</v>
      </c>
      <c r="B39" t="s">
        <v>188</v>
      </c>
      <c r="C39" t="s">
        <v>180</v>
      </c>
      <c r="E39" t="s">
        <v>27</v>
      </c>
    </row>
    <row r="40" spans="1:5" x14ac:dyDescent="0.35">
      <c r="A40" t="s">
        <v>196</v>
      </c>
      <c r="B40" t="s">
        <v>192</v>
      </c>
      <c r="C40" t="s">
        <v>193</v>
      </c>
      <c r="E40" t="s">
        <v>27</v>
      </c>
    </row>
    <row r="41" spans="1:5" x14ac:dyDescent="0.35">
      <c r="A41" t="s">
        <v>202</v>
      </c>
      <c r="B41" t="s">
        <v>198</v>
      </c>
      <c r="C41" t="s">
        <v>199</v>
      </c>
      <c r="E41" t="s">
        <v>27</v>
      </c>
    </row>
    <row r="42" spans="1:5" x14ac:dyDescent="0.35">
      <c r="A42" t="s">
        <v>206</v>
      </c>
      <c r="B42" t="s">
        <v>203</v>
      </c>
      <c r="C42" t="s">
        <v>199</v>
      </c>
      <c r="E42" t="s">
        <v>27</v>
      </c>
    </row>
    <row r="43" spans="1:5" x14ac:dyDescent="0.35">
      <c r="A43" t="s">
        <v>210</v>
      </c>
      <c r="B43" t="s">
        <v>207</v>
      </c>
      <c r="C43" t="s">
        <v>199</v>
      </c>
      <c r="E43" t="s">
        <v>27</v>
      </c>
    </row>
    <row r="44" spans="1:5" x14ac:dyDescent="0.35">
      <c r="A44" t="s">
        <v>214</v>
      </c>
      <c r="B44" t="s">
        <v>211</v>
      </c>
      <c r="C44" t="s">
        <v>199</v>
      </c>
      <c r="E44" t="s">
        <v>27</v>
      </c>
    </row>
    <row r="45" spans="1:5" x14ac:dyDescent="0.35">
      <c r="A45" t="s">
        <v>218</v>
      </c>
      <c r="B45" t="s">
        <v>215</v>
      </c>
      <c r="C45" t="s">
        <v>199</v>
      </c>
      <c r="E45" t="s">
        <v>27</v>
      </c>
    </row>
    <row r="46" spans="1:5" x14ac:dyDescent="0.35">
      <c r="A46" t="s">
        <v>222</v>
      </c>
      <c r="B46" t="s">
        <v>219</v>
      </c>
      <c r="C46" t="s">
        <v>199</v>
      </c>
      <c r="E46" t="s">
        <v>27</v>
      </c>
    </row>
    <row r="47" spans="1:5" x14ac:dyDescent="0.35">
      <c r="A47" t="s">
        <v>227</v>
      </c>
      <c r="B47" t="s">
        <v>223</v>
      </c>
      <c r="C47" t="s">
        <v>224</v>
      </c>
      <c r="E47" t="s">
        <v>27</v>
      </c>
    </row>
    <row r="48" spans="1:5" x14ac:dyDescent="0.35">
      <c r="A48" t="s">
        <v>231</v>
      </c>
      <c r="B48" t="s">
        <v>228</v>
      </c>
      <c r="C48" t="s">
        <v>224</v>
      </c>
      <c r="E48" t="s">
        <v>27</v>
      </c>
    </row>
    <row r="49" spans="1:5" x14ac:dyDescent="0.35">
      <c r="A49" t="s">
        <v>235</v>
      </c>
      <c r="B49" t="s">
        <v>232</v>
      </c>
      <c r="C49" t="s">
        <v>199</v>
      </c>
      <c r="E49" t="s">
        <v>27</v>
      </c>
    </row>
    <row r="50" spans="1:5" x14ac:dyDescent="0.35">
      <c r="A50" t="s">
        <v>239</v>
      </c>
      <c r="B50" t="s">
        <v>236</v>
      </c>
      <c r="C50" t="s">
        <v>199</v>
      </c>
      <c r="E50" t="s">
        <v>27</v>
      </c>
    </row>
    <row r="51" spans="1:5" x14ac:dyDescent="0.35">
      <c r="A51" t="s">
        <v>243</v>
      </c>
      <c r="B51" t="s">
        <v>240</v>
      </c>
      <c r="C51" t="s">
        <v>199</v>
      </c>
      <c r="E51" t="s">
        <v>27</v>
      </c>
    </row>
    <row r="52" spans="1:5" x14ac:dyDescent="0.35">
      <c r="A52" t="s">
        <v>247</v>
      </c>
      <c r="B52" t="s">
        <v>244</v>
      </c>
      <c r="C52" t="s">
        <v>199</v>
      </c>
      <c r="E52" t="s">
        <v>27</v>
      </c>
    </row>
    <row r="53" spans="1:5" x14ac:dyDescent="0.35">
      <c r="A53" t="s">
        <v>252</v>
      </c>
      <c r="B53" t="s">
        <v>248</v>
      </c>
      <c r="C53" t="s">
        <v>249</v>
      </c>
      <c r="E53" t="s">
        <v>27</v>
      </c>
    </row>
    <row r="54" spans="1:5" x14ac:dyDescent="0.35">
      <c r="A54" t="s">
        <v>256</v>
      </c>
      <c r="B54" t="s">
        <v>253</v>
      </c>
      <c r="C54" t="s">
        <v>249</v>
      </c>
      <c r="E54" t="s">
        <v>27</v>
      </c>
    </row>
    <row r="55" spans="1:5" x14ac:dyDescent="0.35">
      <c r="A55" t="s">
        <v>261</v>
      </c>
      <c r="B55" t="s">
        <v>257</v>
      </c>
      <c r="C55" t="s">
        <v>258</v>
      </c>
      <c r="E55" t="s">
        <v>27</v>
      </c>
    </row>
    <row r="56" spans="1:5" x14ac:dyDescent="0.35">
      <c r="A56" t="s">
        <v>265</v>
      </c>
      <c r="B56" t="s">
        <v>262</v>
      </c>
      <c r="C56" t="s">
        <v>258</v>
      </c>
      <c r="E56" t="s">
        <v>27</v>
      </c>
    </row>
    <row r="57" spans="1:5" x14ac:dyDescent="0.35">
      <c r="A57" t="s">
        <v>271</v>
      </c>
      <c r="B57" t="s">
        <v>267</v>
      </c>
      <c r="C57" t="s">
        <v>56</v>
      </c>
      <c r="E57" t="s">
        <v>27</v>
      </c>
    </row>
    <row r="58" spans="1:5" x14ac:dyDescent="0.35">
      <c r="A58" t="s">
        <v>275</v>
      </c>
      <c r="B58" t="s">
        <v>272</v>
      </c>
      <c r="C58" t="s">
        <v>56</v>
      </c>
      <c r="E58" t="s">
        <v>27</v>
      </c>
    </row>
    <row r="59" spans="1:5" x14ac:dyDescent="0.35">
      <c r="A59" t="s">
        <v>279</v>
      </c>
      <c r="B59" t="s">
        <v>276</v>
      </c>
      <c r="C59" t="s">
        <v>47</v>
      </c>
      <c r="E59" t="s">
        <v>27</v>
      </c>
    </row>
    <row r="60" spans="1:5" x14ac:dyDescent="0.35">
      <c r="A60" t="s">
        <v>284</v>
      </c>
      <c r="B60" t="s">
        <v>280</v>
      </c>
      <c r="C60" t="s">
        <v>281</v>
      </c>
      <c r="E60" t="s">
        <v>27</v>
      </c>
    </row>
    <row r="61" spans="1:5" x14ac:dyDescent="0.35">
      <c r="A61" t="s">
        <v>290</v>
      </c>
      <c r="B61" t="s">
        <v>286</v>
      </c>
      <c r="C61" t="s">
        <v>287</v>
      </c>
      <c r="E61" t="s">
        <v>27</v>
      </c>
    </row>
    <row r="62" spans="1:5" x14ac:dyDescent="0.35">
      <c r="A62" t="s">
        <v>296</v>
      </c>
      <c r="B62" t="s">
        <v>291</v>
      </c>
      <c r="C62" t="s">
        <v>292</v>
      </c>
      <c r="E62" t="s">
        <v>27</v>
      </c>
    </row>
    <row r="63" spans="1:5" x14ac:dyDescent="0.35">
      <c r="A63" t="s">
        <v>300</v>
      </c>
      <c r="B63" t="s">
        <v>297</v>
      </c>
      <c r="C63" t="s">
        <v>292</v>
      </c>
      <c r="E63" t="s">
        <v>27</v>
      </c>
    </row>
    <row r="64" spans="1:5" x14ac:dyDescent="0.35">
      <c r="A64" t="s">
        <v>305</v>
      </c>
      <c r="B64" t="s">
        <v>301</v>
      </c>
      <c r="C64" t="s">
        <v>302</v>
      </c>
      <c r="E64" t="s">
        <v>27</v>
      </c>
    </row>
    <row r="65" spans="1:5" x14ac:dyDescent="0.35">
      <c r="A65" t="s">
        <v>312</v>
      </c>
      <c r="B65" t="s">
        <v>307</v>
      </c>
      <c r="C65" t="s">
        <v>811</v>
      </c>
      <c r="D65" t="s">
        <v>313</v>
      </c>
      <c r="E65" t="s">
        <v>311</v>
      </c>
    </row>
    <row r="66" spans="1:5" x14ac:dyDescent="0.35">
      <c r="A66" t="s">
        <v>317</v>
      </c>
      <c r="B66" t="s">
        <v>314</v>
      </c>
      <c r="C66" t="s">
        <v>811</v>
      </c>
      <c r="D66" t="s">
        <v>313</v>
      </c>
      <c r="E66" t="s">
        <v>311</v>
      </c>
    </row>
    <row r="67" spans="1:5" x14ac:dyDescent="0.35">
      <c r="A67" t="s">
        <v>321</v>
      </c>
      <c r="B67" t="s">
        <v>318</v>
      </c>
      <c r="C67" t="s">
        <v>812</v>
      </c>
      <c r="D67" t="s">
        <v>322</v>
      </c>
      <c r="E67" t="s">
        <v>311</v>
      </c>
    </row>
    <row r="68" spans="1:5" x14ac:dyDescent="0.35">
      <c r="A68" t="s">
        <v>325</v>
      </c>
      <c r="B68" t="s">
        <v>323</v>
      </c>
      <c r="C68" t="s">
        <v>812</v>
      </c>
      <c r="D68" t="s">
        <v>322</v>
      </c>
      <c r="E68" t="s">
        <v>311</v>
      </c>
    </row>
    <row r="69" spans="1:5" x14ac:dyDescent="0.35">
      <c r="A69" t="s">
        <v>329</v>
      </c>
      <c r="B69" t="s">
        <v>326</v>
      </c>
      <c r="C69" t="s">
        <v>813</v>
      </c>
      <c r="D69" t="s">
        <v>330</v>
      </c>
      <c r="E69" t="s">
        <v>27</v>
      </c>
    </row>
    <row r="70" spans="1:5" x14ac:dyDescent="0.35">
      <c r="A70" t="s">
        <v>333</v>
      </c>
      <c r="B70" t="s">
        <v>331</v>
      </c>
      <c r="C70" t="s">
        <v>813</v>
      </c>
      <c r="D70" t="s">
        <v>330</v>
      </c>
      <c r="E70" t="s">
        <v>27</v>
      </c>
    </row>
    <row r="71" spans="1:5" x14ac:dyDescent="0.35">
      <c r="A71" t="s">
        <v>337</v>
      </c>
      <c r="B71" t="s">
        <v>334</v>
      </c>
      <c r="C71" t="s">
        <v>814</v>
      </c>
      <c r="D71" t="s">
        <v>338</v>
      </c>
      <c r="E71" t="s">
        <v>27</v>
      </c>
    </row>
    <row r="72" spans="1:5" x14ac:dyDescent="0.35">
      <c r="A72" t="s">
        <v>341</v>
      </c>
      <c r="B72" t="s">
        <v>339</v>
      </c>
      <c r="C72" t="s">
        <v>814</v>
      </c>
      <c r="D72" t="s">
        <v>338</v>
      </c>
      <c r="E72" t="s">
        <v>27</v>
      </c>
    </row>
    <row r="73" spans="1:5" x14ac:dyDescent="0.35">
      <c r="A73" t="s">
        <v>346</v>
      </c>
      <c r="B73" t="s">
        <v>342</v>
      </c>
      <c r="C73" t="s">
        <v>815</v>
      </c>
      <c r="D73" t="s">
        <v>347</v>
      </c>
      <c r="E73" t="s">
        <v>345</v>
      </c>
    </row>
    <row r="74" spans="1:5" x14ac:dyDescent="0.35">
      <c r="A74" t="s">
        <v>351</v>
      </c>
      <c r="B74" t="s">
        <v>348</v>
      </c>
      <c r="C74" t="s">
        <v>815</v>
      </c>
      <c r="D74" t="s">
        <v>347</v>
      </c>
      <c r="E74" t="s">
        <v>345</v>
      </c>
    </row>
    <row r="75" spans="1:5" x14ac:dyDescent="0.35">
      <c r="A75" t="s">
        <v>355</v>
      </c>
      <c r="B75" t="s">
        <v>352</v>
      </c>
      <c r="C75" t="s">
        <v>816</v>
      </c>
      <c r="D75" t="s">
        <v>356</v>
      </c>
      <c r="E75" t="s">
        <v>345</v>
      </c>
    </row>
    <row r="76" spans="1:5" x14ac:dyDescent="0.35">
      <c r="A76" t="s">
        <v>358</v>
      </c>
      <c r="B76" t="s">
        <v>357</v>
      </c>
      <c r="C76" t="s">
        <v>816</v>
      </c>
      <c r="D76" t="s">
        <v>356</v>
      </c>
      <c r="E76" t="s">
        <v>345</v>
      </c>
    </row>
    <row r="77" spans="1:5" x14ac:dyDescent="0.35">
      <c r="A77" t="s">
        <v>360</v>
      </c>
      <c r="B77" t="s">
        <v>359</v>
      </c>
      <c r="C77" t="s">
        <v>817</v>
      </c>
      <c r="D77" t="s">
        <v>361</v>
      </c>
      <c r="E77" t="s">
        <v>345</v>
      </c>
    </row>
    <row r="78" spans="1:5" x14ac:dyDescent="0.35">
      <c r="A78" t="s">
        <v>363</v>
      </c>
      <c r="B78" t="s">
        <v>362</v>
      </c>
      <c r="C78" t="s">
        <v>817</v>
      </c>
      <c r="D78" t="s">
        <v>361</v>
      </c>
      <c r="E78" t="s">
        <v>345</v>
      </c>
    </row>
    <row r="79" spans="1:5" x14ac:dyDescent="0.35">
      <c r="A79" t="s">
        <v>365</v>
      </c>
      <c r="B79" t="s">
        <v>364</v>
      </c>
      <c r="C79" t="s">
        <v>818</v>
      </c>
      <c r="D79" t="s">
        <v>366</v>
      </c>
      <c r="E79" t="s">
        <v>345</v>
      </c>
    </row>
    <row r="80" spans="1:5" x14ac:dyDescent="0.35">
      <c r="A80" t="s">
        <v>368</v>
      </c>
      <c r="B80" t="s">
        <v>367</v>
      </c>
      <c r="C80" t="s">
        <v>818</v>
      </c>
      <c r="D80" t="s">
        <v>366</v>
      </c>
      <c r="E80" t="s">
        <v>345</v>
      </c>
    </row>
    <row r="81" spans="1:5" x14ac:dyDescent="0.35">
      <c r="A81" t="s">
        <v>370</v>
      </c>
      <c r="B81" t="s">
        <v>369</v>
      </c>
      <c r="C81" t="s">
        <v>819</v>
      </c>
      <c r="D81" t="s">
        <v>371</v>
      </c>
      <c r="E81" t="s">
        <v>345</v>
      </c>
    </row>
    <row r="82" spans="1:5" x14ac:dyDescent="0.35">
      <c r="A82" t="s">
        <v>373</v>
      </c>
      <c r="B82" t="s">
        <v>372</v>
      </c>
      <c r="C82" t="s">
        <v>819</v>
      </c>
      <c r="D82" t="s">
        <v>371</v>
      </c>
      <c r="E82" t="s">
        <v>345</v>
      </c>
    </row>
    <row r="83" spans="1:5" x14ac:dyDescent="0.35">
      <c r="A83" t="s">
        <v>375</v>
      </c>
      <c r="B83" t="s">
        <v>374</v>
      </c>
      <c r="C83" t="s">
        <v>820</v>
      </c>
      <c r="D83" t="s">
        <v>376</v>
      </c>
      <c r="E83" t="s">
        <v>345</v>
      </c>
    </row>
    <row r="84" spans="1:5" x14ac:dyDescent="0.35">
      <c r="A84" t="s">
        <v>378</v>
      </c>
      <c r="B84" t="s">
        <v>377</v>
      </c>
      <c r="C84" t="s">
        <v>820</v>
      </c>
      <c r="D84" t="s">
        <v>376</v>
      </c>
      <c r="E84" t="s">
        <v>345</v>
      </c>
    </row>
    <row r="85" spans="1:5" x14ac:dyDescent="0.35">
      <c r="A85" t="s">
        <v>380</v>
      </c>
      <c r="B85" t="s">
        <v>379</v>
      </c>
      <c r="C85" t="s">
        <v>821</v>
      </c>
      <c r="D85" t="s">
        <v>381</v>
      </c>
      <c r="E85" t="s">
        <v>345</v>
      </c>
    </row>
    <row r="86" spans="1:5" x14ac:dyDescent="0.35">
      <c r="A86" t="s">
        <v>383</v>
      </c>
      <c r="B86" t="s">
        <v>382</v>
      </c>
      <c r="C86" t="s">
        <v>821</v>
      </c>
      <c r="D86" t="s">
        <v>381</v>
      </c>
      <c r="E86" t="s">
        <v>345</v>
      </c>
    </row>
    <row r="87" spans="1:5" x14ac:dyDescent="0.35">
      <c r="A87" t="s">
        <v>387</v>
      </c>
      <c r="B87" t="s">
        <v>384</v>
      </c>
      <c r="C87" t="s">
        <v>822</v>
      </c>
      <c r="D87" t="s">
        <v>388</v>
      </c>
      <c r="E87" t="s">
        <v>345</v>
      </c>
    </row>
    <row r="88" spans="1:5" x14ac:dyDescent="0.35">
      <c r="A88" t="s">
        <v>390</v>
      </c>
      <c r="B88" t="s">
        <v>389</v>
      </c>
      <c r="C88" t="s">
        <v>822</v>
      </c>
      <c r="D88" t="s">
        <v>388</v>
      </c>
      <c r="E88" t="s">
        <v>345</v>
      </c>
    </row>
    <row r="89" spans="1:5" x14ac:dyDescent="0.35">
      <c r="A89" t="s">
        <v>394</v>
      </c>
      <c r="B89" t="s">
        <v>391</v>
      </c>
      <c r="C89" t="s">
        <v>823</v>
      </c>
      <c r="D89" t="s">
        <v>395</v>
      </c>
      <c r="E89" t="s">
        <v>345</v>
      </c>
    </row>
    <row r="90" spans="1:5" x14ac:dyDescent="0.35">
      <c r="A90" t="s">
        <v>397</v>
      </c>
      <c r="B90" t="s">
        <v>396</v>
      </c>
      <c r="C90" t="s">
        <v>823</v>
      </c>
      <c r="D90" t="s">
        <v>395</v>
      </c>
      <c r="E90" t="s">
        <v>345</v>
      </c>
    </row>
    <row r="91" spans="1:5" x14ac:dyDescent="0.35">
      <c r="A91" t="s">
        <v>401</v>
      </c>
      <c r="B91" t="s">
        <v>398</v>
      </c>
      <c r="C91" t="s">
        <v>824</v>
      </c>
      <c r="D91" t="s">
        <v>402</v>
      </c>
      <c r="E91" t="s">
        <v>345</v>
      </c>
    </row>
    <row r="92" spans="1:5" x14ac:dyDescent="0.35">
      <c r="A92" t="s">
        <v>404</v>
      </c>
      <c r="B92" t="s">
        <v>403</v>
      </c>
      <c r="C92" t="s">
        <v>824</v>
      </c>
      <c r="D92" t="s">
        <v>402</v>
      </c>
      <c r="E92" t="s">
        <v>345</v>
      </c>
    </row>
    <row r="93" spans="1:5" x14ac:dyDescent="0.35">
      <c r="A93" t="s">
        <v>408</v>
      </c>
      <c r="B93" t="s">
        <v>405</v>
      </c>
      <c r="C93" t="s">
        <v>825</v>
      </c>
      <c r="D93" t="s">
        <v>409</v>
      </c>
      <c r="E93" t="s">
        <v>345</v>
      </c>
    </row>
    <row r="94" spans="1:5" x14ac:dyDescent="0.35">
      <c r="A94" t="s">
        <v>411</v>
      </c>
      <c r="B94" t="s">
        <v>410</v>
      </c>
      <c r="C94" t="s">
        <v>825</v>
      </c>
      <c r="D94" t="s">
        <v>409</v>
      </c>
      <c r="E94" t="s">
        <v>345</v>
      </c>
    </row>
    <row r="95" spans="1:5" x14ac:dyDescent="0.35">
      <c r="A95" t="s">
        <v>415</v>
      </c>
      <c r="B95" t="s">
        <v>412</v>
      </c>
      <c r="C95" t="s">
        <v>826</v>
      </c>
      <c r="D95" t="s">
        <v>416</v>
      </c>
      <c r="E95" t="s">
        <v>345</v>
      </c>
    </row>
    <row r="96" spans="1:5" x14ac:dyDescent="0.35">
      <c r="A96" t="s">
        <v>418</v>
      </c>
      <c r="B96" t="s">
        <v>417</v>
      </c>
      <c r="C96" t="s">
        <v>826</v>
      </c>
      <c r="D96" t="s">
        <v>416</v>
      </c>
      <c r="E96" t="s">
        <v>345</v>
      </c>
    </row>
    <row r="97" spans="1:5" x14ac:dyDescent="0.35">
      <c r="A97" t="s">
        <v>420</v>
      </c>
      <c r="B97" t="s">
        <v>419</v>
      </c>
      <c r="C97" t="s">
        <v>827</v>
      </c>
      <c r="D97" t="s">
        <v>421</v>
      </c>
      <c r="E97" t="s">
        <v>345</v>
      </c>
    </row>
    <row r="98" spans="1:5" x14ac:dyDescent="0.35">
      <c r="A98" t="s">
        <v>423</v>
      </c>
      <c r="B98" t="s">
        <v>422</v>
      </c>
      <c r="C98" t="s">
        <v>827</v>
      </c>
      <c r="D98" t="s">
        <v>421</v>
      </c>
      <c r="E98" t="s">
        <v>345</v>
      </c>
    </row>
    <row r="99" spans="1:5" x14ac:dyDescent="0.35">
      <c r="A99" t="s">
        <v>427</v>
      </c>
      <c r="B99" t="s">
        <v>424</v>
      </c>
      <c r="C99" t="s">
        <v>828</v>
      </c>
      <c r="D99" t="s">
        <v>428</v>
      </c>
      <c r="E99" t="s">
        <v>345</v>
      </c>
    </row>
    <row r="100" spans="1:5" x14ac:dyDescent="0.35">
      <c r="A100" t="s">
        <v>430</v>
      </c>
      <c r="B100" t="s">
        <v>429</v>
      </c>
      <c r="C100" t="s">
        <v>828</v>
      </c>
      <c r="D100" t="s">
        <v>428</v>
      </c>
      <c r="E100" t="s">
        <v>345</v>
      </c>
    </row>
    <row r="101" spans="1:5" x14ac:dyDescent="0.35">
      <c r="A101" t="s">
        <v>434</v>
      </c>
      <c r="B101" t="s">
        <v>431</v>
      </c>
      <c r="C101" t="s">
        <v>829</v>
      </c>
      <c r="D101" t="s">
        <v>435</v>
      </c>
      <c r="E101" t="s">
        <v>345</v>
      </c>
    </row>
    <row r="102" spans="1:5" x14ac:dyDescent="0.35">
      <c r="A102" t="s">
        <v>437</v>
      </c>
      <c r="B102" t="s">
        <v>436</v>
      </c>
      <c r="C102" t="s">
        <v>829</v>
      </c>
      <c r="D102" t="s">
        <v>435</v>
      </c>
      <c r="E102" t="s">
        <v>345</v>
      </c>
    </row>
    <row r="103" spans="1:5" x14ac:dyDescent="0.35">
      <c r="A103" t="s">
        <v>441</v>
      </c>
      <c r="B103" t="s">
        <v>438</v>
      </c>
      <c r="C103" t="s">
        <v>830</v>
      </c>
      <c r="D103" t="s">
        <v>442</v>
      </c>
      <c r="E103" t="s">
        <v>27</v>
      </c>
    </row>
    <row r="104" spans="1:5" x14ac:dyDescent="0.35">
      <c r="A104" t="s">
        <v>445</v>
      </c>
      <c r="B104" t="s">
        <v>443</v>
      </c>
      <c r="C104" t="s">
        <v>830</v>
      </c>
      <c r="D104" t="s">
        <v>442</v>
      </c>
      <c r="E104" t="s">
        <v>27</v>
      </c>
    </row>
    <row r="105" spans="1:5" x14ac:dyDescent="0.35">
      <c r="A105" t="s">
        <v>449</v>
      </c>
      <c r="B105" t="s">
        <v>446</v>
      </c>
      <c r="C105" t="s">
        <v>831</v>
      </c>
      <c r="D105" t="s">
        <v>450</v>
      </c>
      <c r="E105" t="s">
        <v>27</v>
      </c>
    </row>
    <row r="106" spans="1:5" x14ac:dyDescent="0.35">
      <c r="A106" t="s">
        <v>453</v>
      </c>
      <c r="B106" t="s">
        <v>451</v>
      </c>
      <c r="C106" t="s">
        <v>831</v>
      </c>
      <c r="D106" t="s">
        <v>450</v>
      </c>
      <c r="E106" t="s">
        <v>27</v>
      </c>
    </row>
    <row r="107" spans="1:5" x14ac:dyDescent="0.35">
      <c r="A107" t="s">
        <v>457</v>
      </c>
      <c r="B107" t="s">
        <v>454</v>
      </c>
      <c r="C107" t="s">
        <v>832</v>
      </c>
      <c r="D107" t="s">
        <v>458</v>
      </c>
      <c r="E107" t="s">
        <v>27</v>
      </c>
    </row>
    <row r="108" spans="1:5" x14ac:dyDescent="0.35">
      <c r="A108" t="s">
        <v>461</v>
      </c>
      <c r="B108" t="s">
        <v>459</v>
      </c>
      <c r="C108" t="s">
        <v>832</v>
      </c>
      <c r="D108" t="s">
        <v>458</v>
      </c>
      <c r="E108" t="s">
        <v>27</v>
      </c>
    </row>
    <row r="109" spans="1:5" x14ac:dyDescent="0.35">
      <c r="A109" t="s">
        <v>465</v>
      </c>
      <c r="B109" t="s">
        <v>462</v>
      </c>
      <c r="C109" t="s">
        <v>833</v>
      </c>
      <c r="D109" t="s">
        <v>466</v>
      </c>
      <c r="E109" t="s">
        <v>27</v>
      </c>
    </row>
    <row r="110" spans="1:5" x14ac:dyDescent="0.35">
      <c r="A110" t="s">
        <v>469</v>
      </c>
      <c r="B110" t="s">
        <v>467</v>
      </c>
      <c r="C110" t="s">
        <v>833</v>
      </c>
      <c r="D110" t="s">
        <v>466</v>
      </c>
      <c r="E110" t="s">
        <v>27</v>
      </c>
    </row>
    <row r="111" spans="1:5" x14ac:dyDescent="0.35">
      <c r="A111" t="s">
        <v>473</v>
      </c>
      <c r="B111" t="s">
        <v>470</v>
      </c>
      <c r="C111" t="s">
        <v>834</v>
      </c>
      <c r="D111" t="s">
        <v>474</v>
      </c>
      <c r="E111" t="s">
        <v>27</v>
      </c>
    </row>
    <row r="112" spans="1:5" x14ac:dyDescent="0.35">
      <c r="A112" t="s">
        <v>477</v>
      </c>
      <c r="B112" t="s">
        <v>475</v>
      </c>
      <c r="C112" t="s">
        <v>834</v>
      </c>
      <c r="D112" t="s">
        <v>474</v>
      </c>
      <c r="E112" t="s">
        <v>27</v>
      </c>
    </row>
    <row r="113" spans="1:5" x14ac:dyDescent="0.35">
      <c r="A113" t="s">
        <v>481</v>
      </c>
      <c r="B113" t="s">
        <v>478</v>
      </c>
      <c r="C113" t="s">
        <v>835</v>
      </c>
      <c r="D113" t="s">
        <v>482</v>
      </c>
      <c r="E113" t="s">
        <v>27</v>
      </c>
    </row>
    <row r="114" spans="1:5" x14ac:dyDescent="0.35">
      <c r="A114" t="s">
        <v>485</v>
      </c>
      <c r="B114" t="s">
        <v>483</v>
      </c>
      <c r="C114" t="s">
        <v>835</v>
      </c>
      <c r="D114" t="s">
        <v>482</v>
      </c>
      <c r="E114" t="s">
        <v>27</v>
      </c>
    </row>
    <row r="115" spans="1:5" x14ac:dyDescent="0.35">
      <c r="A115" t="s">
        <v>489</v>
      </c>
      <c r="B115" t="s">
        <v>486</v>
      </c>
      <c r="C115" t="s">
        <v>836</v>
      </c>
      <c r="D115" t="s">
        <v>490</v>
      </c>
      <c r="E115" t="s">
        <v>27</v>
      </c>
    </row>
    <row r="116" spans="1:5" x14ac:dyDescent="0.35">
      <c r="A116" t="s">
        <v>493</v>
      </c>
      <c r="B116" t="s">
        <v>491</v>
      </c>
      <c r="C116" t="s">
        <v>836</v>
      </c>
      <c r="D116" t="s">
        <v>490</v>
      </c>
      <c r="E116" t="s">
        <v>27</v>
      </c>
    </row>
    <row r="117" spans="1:5" x14ac:dyDescent="0.35">
      <c r="A117" t="s">
        <v>497</v>
      </c>
      <c r="B117" t="s">
        <v>494</v>
      </c>
      <c r="C117" t="s">
        <v>837</v>
      </c>
      <c r="D117" t="s">
        <v>498</v>
      </c>
      <c r="E117" t="s">
        <v>27</v>
      </c>
    </row>
    <row r="118" spans="1:5" x14ac:dyDescent="0.35">
      <c r="A118" t="s">
        <v>501</v>
      </c>
      <c r="B118" t="s">
        <v>499</v>
      </c>
      <c r="C118" t="s">
        <v>837</v>
      </c>
      <c r="D118" t="s">
        <v>498</v>
      </c>
      <c r="E118" t="s">
        <v>27</v>
      </c>
    </row>
    <row r="119" spans="1:5" x14ac:dyDescent="0.35">
      <c r="A119" t="s">
        <v>505</v>
      </c>
      <c r="B119" t="s">
        <v>502</v>
      </c>
      <c r="C119" t="s">
        <v>838</v>
      </c>
      <c r="D119" t="s">
        <v>506</v>
      </c>
      <c r="E119" t="s">
        <v>27</v>
      </c>
    </row>
    <row r="120" spans="1:5" x14ac:dyDescent="0.35">
      <c r="A120" t="s">
        <v>509</v>
      </c>
      <c r="B120" t="s">
        <v>507</v>
      </c>
      <c r="C120" t="s">
        <v>838</v>
      </c>
      <c r="D120" t="s">
        <v>506</v>
      </c>
      <c r="E120" t="s">
        <v>27</v>
      </c>
    </row>
    <row r="121" spans="1:5" x14ac:dyDescent="0.35">
      <c r="A121" t="s">
        <v>513</v>
      </c>
      <c r="B121" t="s">
        <v>510</v>
      </c>
      <c r="C121" t="s">
        <v>839</v>
      </c>
      <c r="D121" t="s">
        <v>514</v>
      </c>
      <c r="E121" t="s">
        <v>27</v>
      </c>
    </row>
    <row r="122" spans="1:5" x14ac:dyDescent="0.35">
      <c r="A122" t="s">
        <v>517</v>
      </c>
      <c r="B122" t="s">
        <v>515</v>
      </c>
      <c r="C122" t="s">
        <v>839</v>
      </c>
      <c r="D122" t="s">
        <v>514</v>
      </c>
      <c r="E122" t="s">
        <v>27</v>
      </c>
    </row>
    <row r="123" spans="1:5" x14ac:dyDescent="0.35">
      <c r="A123" t="s">
        <v>521</v>
      </c>
      <c r="B123" t="s">
        <v>518</v>
      </c>
      <c r="C123" t="s">
        <v>840</v>
      </c>
      <c r="D123" t="s">
        <v>522</v>
      </c>
      <c r="E123" t="s">
        <v>27</v>
      </c>
    </row>
    <row r="124" spans="1:5" x14ac:dyDescent="0.35">
      <c r="A124" t="s">
        <v>525</v>
      </c>
      <c r="B124" t="s">
        <v>523</v>
      </c>
      <c r="C124" t="s">
        <v>840</v>
      </c>
      <c r="D124" t="s">
        <v>522</v>
      </c>
      <c r="E124" t="s">
        <v>27</v>
      </c>
    </row>
    <row r="125" spans="1:5" x14ac:dyDescent="0.35">
      <c r="A125" t="s">
        <v>527</v>
      </c>
      <c r="B125" t="s">
        <v>526</v>
      </c>
      <c r="C125" t="s">
        <v>841</v>
      </c>
      <c r="D125" t="s">
        <v>528</v>
      </c>
      <c r="E125" t="s">
        <v>27</v>
      </c>
    </row>
    <row r="126" spans="1:5" x14ac:dyDescent="0.35">
      <c r="A126" t="s">
        <v>530</v>
      </c>
      <c r="B126" t="s">
        <v>529</v>
      </c>
      <c r="C126" t="s">
        <v>841</v>
      </c>
      <c r="D126" t="s">
        <v>528</v>
      </c>
      <c r="E126" t="s">
        <v>27</v>
      </c>
    </row>
    <row r="127" spans="1:5" x14ac:dyDescent="0.35">
      <c r="A127" t="s">
        <v>534</v>
      </c>
      <c r="B127" t="s">
        <v>531</v>
      </c>
      <c r="C127" t="s">
        <v>842</v>
      </c>
      <c r="D127" t="s">
        <v>535</v>
      </c>
      <c r="E127" t="s">
        <v>27</v>
      </c>
    </row>
    <row r="128" spans="1:5" x14ac:dyDescent="0.35">
      <c r="A128" t="s">
        <v>538</v>
      </c>
      <c r="B128" t="s">
        <v>536</v>
      </c>
      <c r="C128" t="s">
        <v>842</v>
      </c>
      <c r="D128" t="s">
        <v>535</v>
      </c>
      <c r="E128" t="s">
        <v>27</v>
      </c>
    </row>
    <row r="129" spans="1:5" x14ac:dyDescent="0.35">
      <c r="A129" t="s">
        <v>542</v>
      </c>
      <c r="B129" t="s">
        <v>539</v>
      </c>
      <c r="C129" t="s">
        <v>843</v>
      </c>
      <c r="D129" t="s">
        <v>543</v>
      </c>
      <c r="E129" t="s">
        <v>27</v>
      </c>
    </row>
    <row r="130" spans="1:5" x14ac:dyDescent="0.35">
      <c r="A130" t="s">
        <v>546</v>
      </c>
      <c r="B130" t="s">
        <v>544</v>
      </c>
      <c r="C130" t="s">
        <v>843</v>
      </c>
      <c r="D130" t="s">
        <v>543</v>
      </c>
      <c r="E130" t="s">
        <v>27</v>
      </c>
    </row>
    <row r="131" spans="1:5" x14ac:dyDescent="0.35">
      <c r="A131" t="s">
        <v>550</v>
      </c>
      <c r="B131" t="s">
        <v>547</v>
      </c>
      <c r="C131" t="s">
        <v>844</v>
      </c>
      <c r="D131" t="s">
        <v>551</v>
      </c>
      <c r="E131" t="s">
        <v>27</v>
      </c>
    </row>
    <row r="132" spans="1:5" x14ac:dyDescent="0.35">
      <c r="A132" t="s">
        <v>555</v>
      </c>
      <c r="B132" t="s">
        <v>552</v>
      </c>
      <c r="C132" t="s">
        <v>844</v>
      </c>
      <c r="D132" t="s">
        <v>551</v>
      </c>
      <c r="E132" t="s">
        <v>27</v>
      </c>
    </row>
    <row r="133" spans="1:5" x14ac:dyDescent="0.35">
      <c r="A133" t="s">
        <v>561</v>
      </c>
      <c r="B133" t="s">
        <v>557</v>
      </c>
      <c r="C133" t="s">
        <v>845</v>
      </c>
      <c r="D133" t="s">
        <v>562</v>
      </c>
      <c r="E133" t="s">
        <v>311</v>
      </c>
    </row>
    <row r="134" spans="1:5" x14ac:dyDescent="0.35">
      <c r="A134" t="s">
        <v>566</v>
      </c>
      <c r="B134" t="s">
        <v>563</v>
      </c>
      <c r="C134" t="s">
        <v>846</v>
      </c>
      <c r="D134" t="s">
        <v>567</v>
      </c>
      <c r="E134" t="s">
        <v>311</v>
      </c>
    </row>
    <row r="135" spans="1:5" x14ac:dyDescent="0.35">
      <c r="A135" t="s">
        <v>571</v>
      </c>
      <c r="B135" t="s">
        <v>568</v>
      </c>
      <c r="C135" t="s">
        <v>847</v>
      </c>
      <c r="D135" t="s">
        <v>572</v>
      </c>
      <c r="E135" t="s">
        <v>27</v>
      </c>
    </row>
    <row r="136" spans="1:5" x14ac:dyDescent="0.35">
      <c r="A136" t="s">
        <v>576</v>
      </c>
      <c r="B136" t="s">
        <v>573</v>
      </c>
      <c r="C136" t="s">
        <v>848</v>
      </c>
      <c r="D136" t="s">
        <v>577</v>
      </c>
      <c r="E136" t="s">
        <v>27</v>
      </c>
    </row>
    <row r="137" spans="1:5" x14ac:dyDescent="0.35">
      <c r="A137" t="s">
        <v>581</v>
      </c>
      <c r="B137" t="s">
        <v>578</v>
      </c>
      <c r="C137" t="s">
        <v>849</v>
      </c>
      <c r="D137" t="s">
        <v>582</v>
      </c>
      <c r="E137" t="s">
        <v>27</v>
      </c>
    </row>
    <row r="138" spans="1:5" x14ac:dyDescent="0.35">
      <c r="A138" t="s">
        <v>586</v>
      </c>
      <c r="B138" t="s">
        <v>583</v>
      </c>
      <c r="C138" t="s">
        <v>850</v>
      </c>
      <c r="D138" t="s">
        <v>587</v>
      </c>
      <c r="E138" t="s">
        <v>27</v>
      </c>
    </row>
    <row r="139" spans="1:5" x14ac:dyDescent="0.35">
      <c r="A139" t="s">
        <v>591</v>
      </c>
      <c r="B139" t="s">
        <v>588</v>
      </c>
      <c r="C139" t="s">
        <v>851</v>
      </c>
      <c r="D139" t="s">
        <v>592</v>
      </c>
      <c r="E139" t="s">
        <v>27</v>
      </c>
    </row>
    <row r="140" spans="1:5" x14ac:dyDescent="0.35">
      <c r="A140" t="s">
        <v>596</v>
      </c>
      <c r="B140" t="s">
        <v>593</v>
      </c>
      <c r="C140" t="s">
        <v>852</v>
      </c>
      <c r="D140" t="s">
        <v>597</v>
      </c>
      <c r="E140" t="s">
        <v>27</v>
      </c>
    </row>
    <row r="141" spans="1:5" x14ac:dyDescent="0.35">
      <c r="A141" t="s">
        <v>601</v>
      </c>
      <c r="B141" t="s">
        <v>598</v>
      </c>
      <c r="C141" t="s">
        <v>853</v>
      </c>
      <c r="D141" t="s">
        <v>602</v>
      </c>
      <c r="E141" t="s">
        <v>27</v>
      </c>
    </row>
    <row r="142" spans="1:5" x14ac:dyDescent="0.35">
      <c r="A142" t="s">
        <v>606</v>
      </c>
      <c r="B142" t="s">
        <v>603</v>
      </c>
      <c r="C142" t="s">
        <v>854</v>
      </c>
      <c r="D142" t="s">
        <v>607</v>
      </c>
      <c r="E142" t="s">
        <v>27</v>
      </c>
    </row>
    <row r="143" spans="1:5" x14ac:dyDescent="0.35">
      <c r="A143" t="s">
        <v>611</v>
      </c>
      <c r="B143" t="s">
        <v>608</v>
      </c>
      <c r="C143" t="s">
        <v>855</v>
      </c>
      <c r="D143" t="s">
        <v>612</v>
      </c>
      <c r="E143" t="s">
        <v>27</v>
      </c>
    </row>
    <row r="144" spans="1:5" x14ac:dyDescent="0.35">
      <c r="A144" t="s">
        <v>616</v>
      </c>
      <c r="B144" t="s">
        <v>613</v>
      </c>
      <c r="C144" t="s">
        <v>856</v>
      </c>
      <c r="D144" t="s">
        <v>617</v>
      </c>
      <c r="E144" t="s">
        <v>27</v>
      </c>
    </row>
    <row r="145" spans="1:5" x14ac:dyDescent="0.35">
      <c r="A145" t="s">
        <v>621</v>
      </c>
      <c r="B145" t="s">
        <v>618</v>
      </c>
      <c r="C145" t="s">
        <v>857</v>
      </c>
      <c r="D145" t="s">
        <v>622</v>
      </c>
      <c r="E145" t="s">
        <v>27</v>
      </c>
    </row>
    <row r="146" spans="1:5" x14ac:dyDescent="0.35">
      <c r="A146" t="s">
        <v>626</v>
      </c>
      <c r="B146" t="s">
        <v>623</v>
      </c>
      <c r="C146" t="s">
        <v>858</v>
      </c>
      <c r="D146" t="s">
        <v>627</v>
      </c>
      <c r="E146" t="s">
        <v>27</v>
      </c>
    </row>
    <row r="147" spans="1:5" x14ac:dyDescent="0.35">
      <c r="A147" t="s">
        <v>631</v>
      </c>
      <c r="B147" t="s">
        <v>628</v>
      </c>
      <c r="C147" t="s">
        <v>859</v>
      </c>
      <c r="D147" t="s">
        <v>632</v>
      </c>
      <c r="E147" t="s">
        <v>27</v>
      </c>
    </row>
    <row r="148" spans="1:5" x14ac:dyDescent="0.35">
      <c r="A148" t="s">
        <v>636</v>
      </c>
      <c r="B148" t="s">
        <v>633</v>
      </c>
      <c r="C148" t="s">
        <v>860</v>
      </c>
      <c r="D148" t="s">
        <v>637</v>
      </c>
      <c r="E148" t="s">
        <v>27</v>
      </c>
    </row>
    <row r="149" spans="1:5" x14ac:dyDescent="0.35">
      <c r="A149" t="s">
        <v>641</v>
      </c>
      <c r="B149" t="s">
        <v>638</v>
      </c>
      <c r="C149" t="s">
        <v>861</v>
      </c>
      <c r="D149" t="s">
        <v>642</v>
      </c>
      <c r="E149" t="s">
        <v>27</v>
      </c>
    </row>
    <row r="150" spans="1:5" x14ac:dyDescent="0.35">
      <c r="A150" t="s">
        <v>646</v>
      </c>
      <c r="B150" t="s">
        <v>643</v>
      </c>
      <c r="C150" t="s">
        <v>862</v>
      </c>
      <c r="D150" t="s">
        <v>647</v>
      </c>
      <c r="E150" t="s">
        <v>27</v>
      </c>
    </row>
    <row r="151" spans="1:5" x14ac:dyDescent="0.35">
      <c r="A151" t="s">
        <v>651</v>
      </c>
      <c r="B151" t="s">
        <v>648</v>
      </c>
      <c r="C151" t="s">
        <v>863</v>
      </c>
      <c r="D151" t="s">
        <v>652</v>
      </c>
      <c r="E151" t="s">
        <v>27</v>
      </c>
    </row>
    <row r="152" spans="1:5" x14ac:dyDescent="0.35">
      <c r="A152" t="s">
        <v>656</v>
      </c>
      <c r="B152" t="s">
        <v>653</v>
      </c>
      <c r="C152" t="s">
        <v>864</v>
      </c>
      <c r="D152" t="s">
        <v>657</v>
      </c>
      <c r="E152" t="s">
        <v>27</v>
      </c>
    </row>
    <row r="153" spans="1:5" x14ac:dyDescent="0.35">
      <c r="A153" t="s">
        <v>661</v>
      </c>
      <c r="B153" t="s">
        <v>658</v>
      </c>
      <c r="C153" t="s">
        <v>865</v>
      </c>
      <c r="D153" t="s">
        <v>662</v>
      </c>
      <c r="E153" t="s">
        <v>27</v>
      </c>
    </row>
    <row r="154" spans="1:5" x14ac:dyDescent="0.35">
      <c r="A154" t="s">
        <v>666</v>
      </c>
      <c r="B154" t="s">
        <v>663</v>
      </c>
      <c r="C154" t="s">
        <v>866</v>
      </c>
      <c r="D154" t="s">
        <v>667</v>
      </c>
      <c r="E154" t="s">
        <v>27</v>
      </c>
    </row>
    <row r="155" spans="1:5" x14ac:dyDescent="0.35">
      <c r="A155" t="s">
        <v>671</v>
      </c>
      <c r="B155" t="s">
        <v>668</v>
      </c>
      <c r="C155" t="s">
        <v>867</v>
      </c>
      <c r="D155" t="s">
        <v>672</v>
      </c>
      <c r="E155" t="s">
        <v>27</v>
      </c>
    </row>
    <row r="156" spans="1:5" x14ac:dyDescent="0.35">
      <c r="A156" t="s">
        <v>676</v>
      </c>
      <c r="B156" t="s">
        <v>673</v>
      </c>
      <c r="C156" t="s">
        <v>868</v>
      </c>
      <c r="D156" t="s">
        <v>677</v>
      </c>
      <c r="E156" t="s">
        <v>27</v>
      </c>
    </row>
    <row r="157" spans="1:5" x14ac:dyDescent="0.35">
      <c r="A157" t="s">
        <v>681</v>
      </c>
      <c r="B157" t="s">
        <v>678</v>
      </c>
      <c r="C157" t="s">
        <v>869</v>
      </c>
      <c r="D157" t="s">
        <v>682</v>
      </c>
      <c r="E157" t="s">
        <v>27</v>
      </c>
    </row>
    <row r="158" spans="1:5" x14ac:dyDescent="0.35">
      <c r="A158" t="s">
        <v>686</v>
      </c>
      <c r="B158" t="s">
        <v>683</v>
      </c>
      <c r="C158" t="s">
        <v>870</v>
      </c>
      <c r="D158" t="s">
        <v>687</v>
      </c>
      <c r="E158" t="s">
        <v>27</v>
      </c>
    </row>
    <row r="159" spans="1:5" x14ac:dyDescent="0.35">
      <c r="A159" t="s">
        <v>691</v>
      </c>
      <c r="B159" t="s">
        <v>688</v>
      </c>
      <c r="C159" t="s">
        <v>871</v>
      </c>
      <c r="D159" t="s">
        <v>692</v>
      </c>
      <c r="E159" t="s">
        <v>27</v>
      </c>
    </row>
    <row r="160" spans="1:5" x14ac:dyDescent="0.35">
      <c r="A160" t="s">
        <v>696</v>
      </c>
      <c r="B160" t="s">
        <v>693</v>
      </c>
      <c r="C160" t="s">
        <v>872</v>
      </c>
      <c r="D160" t="s">
        <v>697</v>
      </c>
      <c r="E160" t="s">
        <v>27</v>
      </c>
    </row>
    <row r="161" spans="1:5" x14ac:dyDescent="0.35">
      <c r="A161" t="s">
        <v>701</v>
      </c>
      <c r="B161" t="s">
        <v>698</v>
      </c>
      <c r="C161" t="s">
        <v>873</v>
      </c>
      <c r="D161" t="s">
        <v>702</v>
      </c>
      <c r="E161" t="s">
        <v>27</v>
      </c>
    </row>
    <row r="162" spans="1:5" x14ac:dyDescent="0.35">
      <c r="A162" t="s">
        <v>706</v>
      </c>
      <c r="B162" t="s">
        <v>703</v>
      </c>
      <c r="C162" t="s">
        <v>874</v>
      </c>
      <c r="D162" t="s">
        <v>707</v>
      </c>
      <c r="E162" t="s">
        <v>27</v>
      </c>
    </row>
    <row r="163" spans="1:5" x14ac:dyDescent="0.35">
      <c r="A163" t="s">
        <v>711</v>
      </c>
      <c r="B163" t="s">
        <v>708</v>
      </c>
      <c r="C163" t="s">
        <v>875</v>
      </c>
      <c r="D163" t="s">
        <v>712</v>
      </c>
      <c r="E163" t="s">
        <v>27</v>
      </c>
    </row>
    <row r="164" spans="1:5" x14ac:dyDescent="0.35">
      <c r="A164" t="s">
        <v>716</v>
      </c>
      <c r="B164" t="s">
        <v>713</v>
      </c>
      <c r="C164" t="s">
        <v>876</v>
      </c>
      <c r="D164" t="s">
        <v>717</v>
      </c>
      <c r="E164" t="s">
        <v>27</v>
      </c>
    </row>
    <row r="165" spans="1:5" x14ac:dyDescent="0.35">
      <c r="A165" t="s">
        <v>721</v>
      </c>
      <c r="B165" t="s">
        <v>718</v>
      </c>
      <c r="C165" t="s">
        <v>877</v>
      </c>
      <c r="D165" t="s">
        <v>722</v>
      </c>
      <c r="E165" t="s">
        <v>27</v>
      </c>
    </row>
    <row r="166" spans="1:5" x14ac:dyDescent="0.35">
      <c r="A166" t="s">
        <v>726</v>
      </c>
      <c r="B166" t="s">
        <v>723</v>
      </c>
      <c r="C166" t="s">
        <v>878</v>
      </c>
      <c r="D166" t="s">
        <v>727</v>
      </c>
      <c r="E166" t="s">
        <v>27</v>
      </c>
    </row>
    <row r="167" spans="1:5" x14ac:dyDescent="0.35">
      <c r="A167" t="s">
        <v>731</v>
      </c>
      <c r="B167" t="s">
        <v>728</v>
      </c>
      <c r="C167" t="s">
        <v>879</v>
      </c>
      <c r="D167" t="s">
        <v>732</v>
      </c>
      <c r="E167" t="s">
        <v>27</v>
      </c>
    </row>
    <row r="168" spans="1:5" x14ac:dyDescent="0.35">
      <c r="A168" t="s">
        <v>736</v>
      </c>
      <c r="B168" t="s">
        <v>733</v>
      </c>
      <c r="C168" t="s">
        <v>880</v>
      </c>
      <c r="D168" t="s">
        <v>737</v>
      </c>
      <c r="E168" t="s">
        <v>27</v>
      </c>
    </row>
    <row r="169" spans="1:5" x14ac:dyDescent="0.35">
      <c r="A169" t="s">
        <v>741</v>
      </c>
      <c r="B169" t="s">
        <v>738</v>
      </c>
      <c r="C169" t="s">
        <v>881</v>
      </c>
      <c r="D169" t="s">
        <v>742</v>
      </c>
      <c r="E169" t="s">
        <v>27</v>
      </c>
    </row>
    <row r="170" spans="1:5" x14ac:dyDescent="0.35">
      <c r="A170" t="s">
        <v>746</v>
      </c>
      <c r="B170" t="s">
        <v>743</v>
      </c>
      <c r="C170" t="s">
        <v>882</v>
      </c>
      <c r="D170" t="s">
        <v>361</v>
      </c>
      <c r="E170" t="s">
        <v>345</v>
      </c>
    </row>
    <row r="171" spans="1:5" x14ac:dyDescent="0.35">
      <c r="A171" t="s">
        <v>750</v>
      </c>
      <c r="B171" t="s">
        <v>747</v>
      </c>
      <c r="C171" t="s">
        <v>883</v>
      </c>
      <c r="D171" t="s">
        <v>366</v>
      </c>
      <c r="E171" t="s">
        <v>345</v>
      </c>
    </row>
    <row r="172" spans="1:5" x14ac:dyDescent="0.35">
      <c r="A172" t="s">
        <v>754</v>
      </c>
      <c r="B172" t="s">
        <v>751</v>
      </c>
      <c r="C172" t="s">
        <v>884</v>
      </c>
      <c r="D172" t="s">
        <v>371</v>
      </c>
      <c r="E172" t="s">
        <v>345</v>
      </c>
    </row>
    <row r="173" spans="1:5" x14ac:dyDescent="0.35">
      <c r="A173" t="s">
        <v>758</v>
      </c>
      <c r="B173" t="s">
        <v>755</v>
      </c>
      <c r="C173" t="s">
        <v>885</v>
      </c>
      <c r="D173" t="s">
        <v>376</v>
      </c>
      <c r="E173" t="s">
        <v>345</v>
      </c>
    </row>
    <row r="174" spans="1:5" x14ac:dyDescent="0.35">
      <c r="A174" t="s">
        <v>762</v>
      </c>
      <c r="B174" t="s">
        <v>759</v>
      </c>
      <c r="C174" t="s">
        <v>886</v>
      </c>
      <c r="D174" t="s">
        <v>381</v>
      </c>
      <c r="E174" t="s">
        <v>345</v>
      </c>
    </row>
    <row r="175" spans="1:5" x14ac:dyDescent="0.35">
      <c r="A175" t="s">
        <v>766</v>
      </c>
      <c r="B175" t="s">
        <v>763</v>
      </c>
      <c r="C175" t="s">
        <v>887</v>
      </c>
      <c r="D175" t="s">
        <v>466</v>
      </c>
      <c r="E17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Dropdown_Lists</vt:lpstr>
      <vt:lpstr>Defect_Rollup</vt:lpstr>
      <vt:lpstr>CodePath_Defaults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Grant</dc:creator>
  <cp:lastModifiedBy>Nick Grant</cp:lastModifiedBy>
  <dcterms:created xsi:type="dcterms:W3CDTF">2026-03-07T16:00:41Z</dcterms:created>
  <dcterms:modified xsi:type="dcterms:W3CDTF">2026-03-07T22:37:29Z</dcterms:modified>
</cp:coreProperties>
</file>